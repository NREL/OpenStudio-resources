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-15" windowWidth="14190" windowHeight="11040" firstSheet="2" activeTab="4"/>
  </bookViews>
  <sheets>
    <sheet name="Goals and Status" sheetId="1" r:id="rId1"/>
    <sheet name="Rollup - Pre-specified points" sheetId="3" r:id="rId2"/>
    <sheet name="Rollup - Retrieve Results" sheetId="6" r:id="rId3"/>
    <sheet name="Computer Data" sheetId="4" r:id="rId4"/>
    <sheet name="Test Data" sheetId="2" r:id="rId5"/>
    <sheet name="Graphs" sheetId="5" r:id="rId6"/>
  </sheets>
  <definedNames>
    <definedName name="_xlnm._FilterDatabase" localSheetId="4" hidden="1">'Test Data'!$A$1:$I$273</definedName>
  </definedNames>
  <calcPr calcId="125725"/>
</workbook>
</file>

<file path=xl/calcChain.xml><?xml version="1.0" encoding="utf-8"?>
<calcChain xmlns="http://schemas.openxmlformats.org/spreadsheetml/2006/main">
  <c r="C30" i="3"/>
  <c r="C28"/>
  <c r="C27"/>
  <c r="C26"/>
  <c r="C25"/>
  <c r="C24"/>
  <c r="C23"/>
  <c r="C29"/>
  <c r="H29"/>
  <c r="C22"/>
  <c r="H13"/>
  <c r="C18"/>
  <c r="H18"/>
  <c r="C13"/>
  <c r="H21"/>
  <c r="C21"/>
  <c r="C20"/>
  <c r="C11"/>
  <c r="C12"/>
  <c r="C14"/>
  <c r="C15"/>
  <c r="C16"/>
  <c r="C17"/>
  <c r="C19"/>
  <c r="H20"/>
  <c r="H19"/>
  <c r="H17"/>
  <c r="H16"/>
  <c r="H12"/>
  <c r="H11"/>
</calcChain>
</file>

<file path=xl/sharedStrings.xml><?xml version="1.0" encoding="utf-8"?>
<sst xmlns="http://schemas.openxmlformats.org/spreadsheetml/2006/main" count="1342" uniqueCount="195">
  <si>
    <t>Analysis Driver and Related Applications Performance Goals</t>
  </si>
  <si>
    <t>Scale</t>
  </si>
  <si>
    <t>DataPoints</t>
  </si>
  <si>
    <t>Problems</t>
  </si>
  <si>
    <t>Measures/Problem</t>
  </si>
  <si>
    <t>Performance</t>
  </si>
  <si>
    <t>Goal (n)</t>
  </si>
  <si>
    <t>Description</t>
  </si>
  <si>
    <t>Current Status</t>
  </si>
  <si>
    <t>Goal</t>
  </si>
  <si>
    <t xml:space="preserve">     Design of Experiments (1 local job)</t>
  </si>
  <si>
    <t xml:space="preserve">     Sequential Search (1 local job)</t>
  </si>
  <si>
    <t xml:space="preserve">     DDACE-LHS (2 local jobs)</t>
  </si>
  <si>
    <t>Speed-up for running in parallel with n local jobs (n+1 for Dakota)</t>
  </si>
  <si>
    <t xml:space="preserve">     Two local jobs</t>
  </si>
  <si>
    <t xml:space="preserve">     Four local jobs</t>
  </si>
  <si>
    <t xml:space="preserve">     Six local jobs</t>
  </si>
  <si>
    <t>Scatter Plot of 50,000 DataPoints on 4-8 Core Laptop (s)</t>
  </si>
  <si>
    <t>Runtime Overhead (excluding EnergyPlus, etc.) (s/DataPoint)</t>
  </si>
  <si>
    <t xml:space="preserve">     Pre-specified points (artificial, 50,000 points)</t>
  </si>
  <si>
    <t>Pre-specified points (artificial, 50,000)</t>
  </si>
  <si>
    <t>Test Description</t>
  </si>
  <si>
    <t>Test Name</t>
  </si>
  <si>
    <t>Date</t>
  </si>
  <si>
    <t>OS Version</t>
  </si>
  <si>
    <t>DOE Tag</t>
  </si>
  <si>
    <t>Command Line Time</t>
  </si>
  <si>
    <t>Platform</t>
  </si>
  <si>
    <t>RedRock</t>
  </si>
  <si>
    <t>HPC</t>
  </si>
  <si>
    <t>RedMesa</t>
  </si>
  <si>
    <t>ehale-19205s</t>
  </si>
  <si>
    <t>Win7</t>
  </si>
  <si>
    <t>ehale-12682s</t>
  </si>
  <si>
    <t>Time per DataPoint</t>
  </si>
  <si>
    <t>ReverseTranslator_LargeModel</t>
  </si>
  <si>
    <t>Load and Save a Model</t>
  </si>
  <si>
    <t>ModelLoadAndSave_SmallModel</t>
  </si>
  <si>
    <t>Forward Translate a Model</t>
  </si>
  <si>
    <t>ForwardTranslator_SmallModel</t>
  </si>
  <si>
    <t>Number of Ruby Variables</t>
  </si>
  <si>
    <t>Number of Ruleset Variables</t>
  </si>
  <si>
    <t>EnergyPlus</t>
  </si>
  <si>
    <t>Model Source (EnergyPlus|NewOsm|OldOsm)</t>
  </si>
  <si>
    <t>Assuming 3 model loads and saves with no variables--check.</t>
  </si>
  <si>
    <t>0.8.0</t>
  </si>
  <si>
    <t>Num DPs in Test</t>
  </si>
  <si>
    <t>Comment</t>
  </si>
  <si>
    <t>0.8.1</t>
  </si>
  <si>
    <t>Version</t>
  </si>
  <si>
    <t>Result (s/DataPoint)</t>
  </si>
  <si>
    <t>Pre-test for Dan's changes. Time greatly reduced just be disabling the standardOutLogger.</t>
  </si>
  <si>
    <t>translateSchedules 36.80 s</t>
  </si>
  <si>
    <t>30-45% speed up. translateSchedules 10.95 s. istringEqual 5.42 s, with mf_resolvePotentialNameConflicts most frequent caller.</t>
  </si>
  <si>
    <t>Post-test for Dan's changes.</t>
  </si>
  <si>
    <t>ForwardTranslator_MediumModel_GeometryHeavy</t>
  </si>
  <si>
    <t>ForwardTranslator_MediumModel_HVACHeavy</t>
  </si>
  <si>
    <t>ThermalZone::combineSpaces is 43%, w/ Space::hardApplyConstructions, InteriorPartitionSurface constructor and PlanarSurfaceGroup::changeTransformation the hardest hitters.</t>
  </si>
  <si>
    <t>ScheduleRuleset::getDaySchedule is 16%. WorkspaceObject_Impl::initializeOnAdd (istringEqual) is 9%.</t>
  </si>
  <si>
    <t>translateThermalZone 21%, translateSurface 10%, translateAirLoopHVAC 5%</t>
  </si>
  <si>
    <t>VersionTranslator_MediumModel_GeometryHeavy</t>
  </si>
  <si>
    <t>ModelLoadAndSave_MediumModel_GeometryHeavy</t>
  </si>
  <si>
    <t>ModelLoadAndSave_MediumModel_HVACHeavy</t>
  </si>
  <si>
    <t>Version Update a Model</t>
  </si>
  <si>
    <t>Reverse Translate a Model</t>
  </si>
  <si>
    <t>0.8.4</t>
  </si>
  <si>
    <t>VersionTranslator_MediumModel_HVACHeavy</t>
  </si>
  <si>
    <t>IdfObject_Impl::parseFields; IddObject::IddObject as called by IdfObject_Impl::load; Workspace_Impl::getObjectsByReference as called by uniquelyIdentifiableByName</t>
  </si>
  <si>
    <t>Workspace_Impl::getObjectsByReference as called by uniquelyIdentifiableByName</t>
  </si>
  <si>
    <t>In addition to items that already have tasks, Workspace_Impl::getObjectsByReference as called by WorkspaceObject_Impl::initializeOnAdd</t>
  </si>
  <si>
    <t>std::find_if(names.begin(),names.end(),boost::bind(istringEqual,…)) in mf_resolvePotentialNameConflicts; IdfObject::name -&gt; IddObject_Impl::hasNameField, hasHandleField</t>
  </si>
  <si>
    <t>nothing new</t>
  </si>
  <si>
    <t>translateScheduleRuleset -&gt; getDaySchedules -&gt; getActiveRuleIndices (has double loop); WorkspaceObject_Impl::initializeOnAdd (a few hot spots); ThermalZone::combineSpaces; Workspace::clone</t>
  </si>
  <si>
    <t>Profiling Action Items</t>
  </si>
  <si>
    <t>Model::Model(IdfFile) -&gt; Workspace_Impl::addObjects -&gt; isValid -&gt; uniquelyIdentifiableByName -&gt; getObjectsByReference, istringEqual, name (in that order)</t>
  </si>
  <si>
    <t>Workspace_Impl::sort (triggered by save); IdfObject_Impl::print -&gt; IdfObject_Impl::printField (find better way to os &lt;&lt; " ", and fieldComment line is costly)</t>
  </si>
  <si>
    <t>WorkspaceObject_Impl::uniquelyIdentifiableByName -&gt; Workspace_Impl::getObjectsByReference</t>
  </si>
  <si>
    <t>Workspace_Impl::mf_resolvePotentialNameConflicts -&gt; find_if on names.</t>
  </si>
  <si>
    <t>results look wrong</t>
  </si>
  <si>
    <t>translateThermalZone takes awhile, but nothing obvious to do</t>
  </si>
  <si>
    <t>0.8.5</t>
  </si>
  <si>
    <t>26% faster</t>
  </si>
  <si>
    <t>4 x faster</t>
  </si>
  <si>
    <t>2.5 x faster</t>
  </si>
  <si>
    <t>3 x faster</t>
  </si>
  <si>
    <t>2.9 x faster</t>
  </si>
  <si>
    <t>30% faster</t>
  </si>
  <si>
    <t>5.5 x faster</t>
  </si>
  <si>
    <t>5.2 x faster</t>
  </si>
  <si>
    <t>3.7 x faster</t>
  </si>
  <si>
    <t>3.5 x faster</t>
  </si>
  <si>
    <t>3.6 x faster</t>
  </si>
  <si>
    <t>17% faster (but this version has some LU issues)</t>
  </si>
  <si>
    <t xml:space="preserve">     Eight local jobs</t>
  </si>
  <si>
    <t>Run the Data Point Workflow</t>
  </si>
  <si>
    <t>FullWorkflow_NoRuby_Serial_PauseNone</t>
  </si>
  <si>
    <t>FullWorkflow_NoRuby_TwoJobs_PauseNone</t>
  </si>
  <si>
    <t>FullWorkflow_NoRuby_FourJobs_PauseNone</t>
  </si>
  <si>
    <t>FullWorkflow_NoRuby_SixJobs_PauseNone</t>
  </si>
  <si>
    <t>FullWorkflow_NoRuby_EightJobs_PauseNone</t>
  </si>
  <si>
    <t>FullWorkflow_NoRuby_TwelveJobs_PauseNone</t>
  </si>
  <si>
    <t>FullWorkflow_NoRuby_SixteenJobs_PauseNone</t>
  </si>
  <si>
    <t>See spreadsheet attached to Pivotal story</t>
  </si>
  <si>
    <t>0.9.2</t>
  </si>
  <si>
    <t>Computer</t>
  </si>
  <si>
    <t>FullWorkflow_AllRuby_EightJobs_PauseNone</t>
  </si>
  <si>
    <t>0.9.3</t>
  </si>
  <si>
    <t>1% slowdown</t>
  </si>
  <si>
    <t>10% speedup</t>
  </si>
  <si>
    <t>3% speedup</t>
  </si>
  <si>
    <t>7% speedup</t>
  </si>
  <si>
    <t>2% speedup</t>
  </si>
  <si>
    <t>26% speedup &amp; 37 s overhead/data point</t>
  </si>
  <si>
    <t>23% speedup &amp; 16 s overhead/data point</t>
  </si>
  <si>
    <t>46% speedup &amp; 39 s overhead/data point</t>
  </si>
  <si>
    <t>46% speedup &amp; 11 s overhead/data point</t>
  </si>
  <si>
    <t>2% slowdown</t>
  </si>
  <si>
    <t>8% slowdown</t>
  </si>
  <si>
    <t>4% slowdown</t>
  </si>
  <si>
    <t>6% slowdown</t>
  </si>
  <si>
    <t>Jturner-linux</t>
  </si>
  <si>
    <t>Ubuntu12</t>
  </si>
  <si>
    <t>Cores</t>
  </si>
  <si>
    <t>40% speedup</t>
  </si>
  <si>
    <t>4x faster</t>
  </si>
  <si>
    <t>2x faster</t>
  </si>
  <si>
    <t>66% faster</t>
  </si>
  <si>
    <t>29% faster</t>
  </si>
  <si>
    <t>56% faster</t>
  </si>
  <si>
    <t>15% faster</t>
  </si>
  <si>
    <t>12x faster, 2.9s/data point</t>
  </si>
  <si>
    <t>7x faster, 20 s/data point, w/ 100s of Ruby jobs baked in</t>
  </si>
  <si>
    <t>11% slower</t>
  </si>
  <si>
    <t>8% faster</t>
  </si>
  <si>
    <t>Jturner-win</t>
  </si>
  <si>
    <t>11x faster than 0.8.5</t>
  </si>
  <si>
    <t>9x faster than 0.8.5</t>
  </si>
  <si>
    <t>10x faster than 0.8.5</t>
  </si>
  <si>
    <t>14x faster than 0.8.5</t>
  </si>
  <si>
    <t>7x faster than earlier 0.9.3</t>
  </si>
  <si>
    <t>12x faster than 0.8.5</t>
  </si>
  <si>
    <t>10x faster than 0.9.2</t>
  </si>
  <si>
    <t>13x faster than 0.8.5</t>
  </si>
  <si>
    <t>Profile_ProblemSave</t>
  </si>
  <si>
    <t>Profile_SaveAnalysis</t>
  </si>
  <si>
    <t>Profile_UpdateAnalysis</t>
  </si>
  <si>
    <t>Number of Responses</t>
  </si>
  <si>
    <t>Number of Attributes</t>
  </si>
  <si>
    <t>Result (s for Retrieval)</t>
  </si>
  <si>
    <t>Number of Data Points</t>
  </si>
  <si>
    <t>Num Responses</t>
  </si>
  <si>
    <t>Num Attributes</t>
  </si>
  <si>
    <t>Num DPs</t>
  </si>
  <si>
    <t>Profile_ClearAnalysisResults</t>
  </si>
  <si>
    <t>Profile_OpenDatabase</t>
  </si>
  <si>
    <t>Profile_RetrieveResponses</t>
  </si>
  <si>
    <t>Profile_OpenDatabaseWithUpdate</t>
  </si>
  <si>
    <t>Profile_OpenDatabaseWithoutUpdate</t>
  </si>
  <si>
    <t>Profile_RetrieveRealResults</t>
  </si>
  <si>
    <t>Save Analysis to ProjectDatabase</t>
  </si>
  <si>
    <t>Save Problem to ProjectDatabase</t>
  </si>
  <si>
    <t>Save Analysis with One Updated Point</t>
  </si>
  <si>
    <t>Clear Analysis Results for ReRun</t>
  </si>
  <si>
    <t>Open Database with Artificial Analysis</t>
  </si>
  <si>
    <t>Retrieve Responses from Artificial Analysis</t>
  </si>
  <si>
    <t>Open and Update Real Database</t>
  </si>
  <si>
    <t>Open Real Database</t>
  </si>
  <si>
    <t>Retrieve Output Attributes from Real Database</t>
  </si>
  <si>
    <t>0.9.5</t>
  </si>
  <si>
    <t>8% slower</t>
  </si>
  <si>
    <t>8x faster</t>
  </si>
  <si>
    <t>3000x faster</t>
  </si>
  <si>
    <t>21% faster</t>
  </si>
  <si>
    <t>83% faster - 200 data points</t>
  </si>
  <si>
    <t>23% faster - 200 data points</t>
  </si>
  <si>
    <t>no change - 200 data points</t>
  </si>
  <si>
    <t>9x faster - 200 data points</t>
  </si>
  <si>
    <t>2x faster - 200 data points</t>
  </si>
  <si>
    <t>2% faster</t>
  </si>
  <si>
    <t>7x faster</t>
  </si>
  <si>
    <t>4500x faster</t>
  </si>
  <si>
    <t>20% faster</t>
  </si>
  <si>
    <t>29% faster - 200 data points</t>
  </si>
  <si>
    <t>30% faster - 200 data points</t>
  </si>
  <si>
    <t>7x faster - 200 data points</t>
  </si>
  <si>
    <t>67% faster - 200 data points</t>
  </si>
  <si>
    <t>500 data points</t>
  </si>
  <si>
    <t>Deserialize Analysis</t>
  </si>
  <si>
    <t>Profile_DeserializeAnalysis</t>
  </si>
  <si>
    <t>500 data points (3.33 scaling v. 2.5 expected)</t>
  </si>
  <si>
    <t>500 data points (3.59 scaling v. 2.5 expected)</t>
  </si>
  <si>
    <t>500 data points (good scaling &lt; 2.5)</t>
  </si>
  <si>
    <t>500 data points (3.01 scaling v. 2.5 expected)</t>
  </si>
  <si>
    <t>500 data points (3.47 scaling v. 2.5 expected)</t>
  </si>
  <si>
    <t>0.10.2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</si>
</sst>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3" fontId="0" fillId="0" borderId="0" xfId="0" applyNumberFormat="1"/>
    <xf numFmtId="0" fontId="1" fillId="0" borderId="0" xfId="0" applyFont="1"/>
    <xf numFmtId="0" fontId="0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2" fontId="3" fillId="0" borderId="0" xfId="0" applyNumberFormat="1" applyFont="1"/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wrapText="1"/>
    </xf>
    <xf numFmtId="164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1" fontId="3" fillId="0" borderId="0" xfId="0" applyNumberFormat="1" applyFont="1"/>
    <xf numFmtId="14" fontId="3" fillId="0" borderId="0" xfId="0" applyNumberFormat="1" applyFont="1"/>
    <xf numFmtId="10" fontId="3" fillId="0" borderId="0" xfId="0" applyNumberFormat="1" applyFont="1"/>
    <xf numFmtId="165" fontId="3" fillId="0" borderId="0" xfId="0" applyNumberFormat="1" applyFont="1"/>
    <xf numFmtId="0" fontId="3" fillId="2" borderId="0" xfId="0" applyFont="1" applyFill="1"/>
    <xf numFmtId="2" fontId="3" fillId="2" borderId="0" xfId="0" applyNumberFormat="1" applyFont="1" applyFill="1"/>
    <xf numFmtId="164" fontId="3" fillId="2" borderId="0" xfId="0" applyNumberFormat="1" applyFont="1" applyFill="1"/>
  </cellXfs>
  <cellStyles count="1">
    <cellStyle name="Normal" xfId="0" builtinId="0"/>
  </cellStyles>
  <dxfs count="9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C24"/>
  <sheetViews>
    <sheetView workbookViewId="0">
      <selection activeCell="A19" sqref="A19"/>
    </sheetView>
  </sheetViews>
  <sheetFormatPr defaultRowHeight="15"/>
  <cols>
    <col min="2" max="2" width="60.140625" bestFit="1" customWidth="1"/>
    <col min="3" max="3" width="18.28515625" customWidth="1"/>
  </cols>
  <sheetData>
    <row r="2" spans="1:3" ht="18.75">
      <c r="A2" s="4" t="s">
        <v>0</v>
      </c>
    </row>
    <row r="4" spans="1:3" ht="18.75">
      <c r="A4" s="4" t="s">
        <v>1</v>
      </c>
    </row>
    <row r="5" spans="1:3">
      <c r="A5" s="2"/>
    </row>
    <row r="6" spans="1:3">
      <c r="A6" s="2" t="s">
        <v>6</v>
      </c>
      <c r="B6" s="2" t="s">
        <v>7</v>
      </c>
      <c r="C6" s="2"/>
    </row>
    <row r="7" spans="1:3">
      <c r="A7" s="1">
        <v>10</v>
      </c>
      <c r="B7" t="s">
        <v>3</v>
      </c>
    </row>
    <row r="8" spans="1:3">
      <c r="A8" s="1">
        <v>100</v>
      </c>
      <c r="B8" t="s">
        <v>4</v>
      </c>
    </row>
    <row r="9" spans="1:3">
      <c r="A9" s="1">
        <v>50000</v>
      </c>
      <c r="B9" t="s">
        <v>2</v>
      </c>
    </row>
    <row r="11" spans="1:3" ht="18.75">
      <c r="A11" s="4" t="s">
        <v>5</v>
      </c>
    </row>
    <row r="12" spans="1:3">
      <c r="A12" s="2"/>
    </row>
    <row r="13" spans="1:3">
      <c r="A13" s="2" t="s">
        <v>9</v>
      </c>
      <c r="B13" s="2" t="s">
        <v>7</v>
      </c>
      <c r="C13" s="2" t="s">
        <v>8</v>
      </c>
    </row>
    <row r="14" spans="1:3">
      <c r="A14" s="1">
        <v>6</v>
      </c>
      <c r="B14" t="s">
        <v>18</v>
      </c>
    </row>
    <row r="15" spans="1:3">
      <c r="B15" t="s">
        <v>19</v>
      </c>
    </row>
    <row r="16" spans="1:3">
      <c r="B16" t="s">
        <v>10</v>
      </c>
    </row>
    <row r="17" spans="1:2">
      <c r="B17" t="s">
        <v>11</v>
      </c>
    </row>
    <row r="18" spans="1:2">
      <c r="B18" t="s">
        <v>12</v>
      </c>
    </row>
    <row r="19" spans="1:2">
      <c r="A19" s="1">
        <v>10</v>
      </c>
      <c r="B19" t="s">
        <v>17</v>
      </c>
    </row>
    <row r="20" spans="1:2">
      <c r="B20" t="s">
        <v>13</v>
      </c>
    </row>
    <row r="21" spans="1:2">
      <c r="A21">
        <v>1.6</v>
      </c>
      <c r="B21" t="s">
        <v>14</v>
      </c>
    </row>
    <row r="22" spans="1:2">
      <c r="A22">
        <v>3.2</v>
      </c>
      <c r="B22" t="s">
        <v>15</v>
      </c>
    </row>
    <row r="23" spans="1:2">
      <c r="A23" s="3">
        <v>4.8</v>
      </c>
      <c r="B23" t="s">
        <v>16</v>
      </c>
    </row>
    <row r="24" spans="1:2">
      <c r="A24" s="3">
        <v>6.4</v>
      </c>
      <c r="B24" t="s">
        <v>93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I30"/>
  <sheetViews>
    <sheetView topLeftCell="C1" zoomScaleNormal="100" workbookViewId="0">
      <selection activeCell="H29" sqref="H29"/>
    </sheetView>
  </sheetViews>
  <sheetFormatPr defaultRowHeight="15"/>
  <cols>
    <col min="1" max="1" width="43.140625" bestFit="1" customWidth="1"/>
    <col min="2" max="2" width="41.42578125" bestFit="1" customWidth="1"/>
    <col min="3" max="3" width="8.7109375" bestFit="1" customWidth="1"/>
    <col min="4" max="4" width="8.7109375" customWidth="1"/>
    <col min="5" max="5" width="5.140625" bestFit="1" customWidth="1"/>
    <col min="6" max="6" width="19.28515625" bestFit="1" customWidth="1"/>
    <col min="7" max="7" width="15.42578125" bestFit="1" customWidth="1"/>
    <col min="8" max="8" width="18.28515625" bestFit="1" customWidth="1"/>
    <col min="9" max="9" width="49.5703125" bestFit="1" customWidth="1"/>
  </cols>
  <sheetData>
    <row r="2" spans="1:9">
      <c r="A2" s="2" t="s">
        <v>20</v>
      </c>
    </row>
    <row r="3" spans="1:9">
      <c r="A3" s="3" t="s">
        <v>49</v>
      </c>
    </row>
    <row r="4" spans="1:9">
      <c r="A4" t="s">
        <v>27</v>
      </c>
      <c r="B4" t="s">
        <v>32</v>
      </c>
    </row>
    <row r="5" spans="1:9">
      <c r="A5" t="s">
        <v>43</v>
      </c>
      <c r="B5" t="s">
        <v>42</v>
      </c>
    </row>
    <row r="6" spans="1:9">
      <c r="A6" t="s">
        <v>40</v>
      </c>
      <c r="B6">
        <v>50</v>
      </c>
    </row>
    <row r="7" spans="1:9">
      <c r="A7" s="3" t="s">
        <v>41</v>
      </c>
      <c r="B7">
        <v>50</v>
      </c>
    </row>
    <row r="8" spans="1:9">
      <c r="A8" t="s">
        <v>50</v>
      </c>
    </row>
    <row r="10" spans="1:9">
      <c r="A10" s="2" t="s">
        <v>21</v>
      </c>
      <c r="B10" s="2" t="s">
        <v>22</v>
      </c>
      <c r="C10" s="2" t="s">
        <v>27</v>
      </c>
      <c r="D10" s="2" t="s">
        <v>49</v>
      </c>
      <c r="E10" s="2" t="s">
        <v>23</v>
      </c>
      <c r="F10" s="2" t="s">
        <v>26</v>
      </c>
      <c r="G10" s="2" t="s">
        <v>46</v>
      </c>
      <c r="H10" s="2" t="s">
        <v>34</v>
      </c>
    </row>
    <row r="11" spans="1:9">
      <c r="A11" s="5" t="s">
        <v>64</v>
      </c>
      <c r="B11" s="5" t="s">
        <v>35</v>
      </c>
      <c r="C11" s="5" t="str">
        <f t="shared" ref="C11:C29" si="0">$B$4</f>
        <v>Win7</v>
      </c>
      <c r="D11" s="5"/>
      <c r="E11" s="5"/>
      <c r="F11" s="5"/>
      <c r="G11" s="5">
        <v>1</v>
      </c>
      <c r="H11" s="5">
        <f>(E11/G11)*COUNTIF(B5,"EnergyPlus")</f>
        <v>0</v>
      </c>
      <c r="I11" s="5"/>
    </row>
    <row r="12" spans="1:9">
      <c r="A12" s="5" t="s">
        <v>63</v>
      </c>
      <c r="B12" s="5" t="s">
        <v>60</v>
      </c>
      <c r="C12" s="5" t="str">
        <f t="shared" si="0"/>
        <v>Win7</v>
      </c>
      <c r="D12" s="5"/>
      <c r="E12" s="5"/>
      <c r="F12" s="5"/>
      <c r="G12" s="5">
        <v>5</v>
      </c>
      <c r="H12" s="5">
        <f>(E12/G12)*COUNTIF(B5,"OldOsm")</f>
        <v>0</v>
      </c>
      <c r="I12" s="5"/>
    </row>
    <row r="13" spans="1:9">
      <c r="A13" s="5" t="s">
        <v>63</v>
      </c>
      <c r="B13" s="5" t="s">
        <v>66</v>
      </c>
      <c r="C13" s="5" t="str">
        <f t="shared" si="0"/>
        <v>Win7</v>
      </c>
      <c r="D13" s="5"/>
      <c r="E13" s="5"/>
      <c r="F13" s="5"/>
      <c r="G13" s="5">
        <v>5</v>
      </c>
      <c r="H13" s="5">
        <f>(E13/G13)*COUNTIF(B6,"OldOsm")</f>
        <v>0</v>
      </c>
      <c r="I13" s="5"/>
    </row>
    <row r="14" spans="1:9">
      <c r="A14" s="5" t="s">
        <v>160</v>
      </c>
      <c r="B14" s="5" t="s">
        <v>143</v>
      </c>
      <c r="C14" s="5" t="str">
        <f t="shared" si="0"/>
        <v>Win7</v>
      </c>
      <c r="D14" s="5"/>
      <c r="E14" s="5"/>
      <c r="F14" s="5"/>
      <c r="G14" s="5">
        <v>50000</v>
      </c>
      <c r="H14" s="5"/>
      <c r="I14" s="5"/>
    </row>
    <row r="15" spans="1:9">
      <c r="A15" s="5" t="s">
        <v>159</v>
      </c>
      <c r="B15" s="5" t="s">
        <v>144</v>
      </c>
      <c r="C15" s="5" t="str">
        <f t="shared" si="0"/>
        <v>Win7</v>
      </c>
      <c r="D15" s="5"/>
      <c r="E15" s="5"/>
      <c r="F15" s="5"/>
      <c r="G15" s="5">
        <v>200</v>
      </c>
      <c r="H15" s="5"/>
      <c r="I15" s="5"/>
    </row>
    <row r="16" spans="1:9">
      <c r="A16" s="5" t="s">
        <v>36</v>
      </c>
      <c r="B16" s="5" t="s">
        <v>37</v>
      </c>
      <c r="C16" s="5" t="str">
        <f t="shared" si="0"/>
        <v>Win7</v>
      </c>
      <c r="D16" s="5"/>
      <c r="E16" s="5"/>
      <c r="F16" s="5"/>
      <c r="G16" s="5">
        <v>100</v>
      </c>
      <c r="H16" s="5">
        <f>(E16/G16)*(3+B$6)</f>
        <v>0</v>
      </c>
      <c r="I16" s="5" t="s">
        <v>44</v>
      </c>
    </row>
    <row r="17" spans="1:9">
      <c r="A17" s="5" t="s">
        <v>36</v>
      </c>
      <c r="B17" s="5" t="s">
        <v>61</v>
      </c>
      <c r="C17" s="5" t="str">
        <f t="shared" si="0"/>
        <v>Win7</v>
      </c>
      <c r="D17" s="5"/>
      <c r="E17" s="5"/>
      <c r="F17" s="5"/>
      <c r="G17" s="5">
        <v>5</v>
      </c>
      <c r="H17" s="5">
        <f>(E17/G17)*(3+B$6)</f>
        <v>0</v>
      </c>
      <c r="I17" s="5"/>
    </row>
    <row r="18" spans="1:9">
      <c r="A18" s="5" t="s">
        <v>36</v>
      </c>
      <c r="B18" s="5" t="s">
        <v>62</v>
      </c>
      <c r="C18" s="5" t="str">
        <f t="shared" si="0"/>
        <v>Win7</v>
      </c>
      <c r="D18" s="5"/>
      <c r="E18" s="5"/>
      <c r="F18" s="5"/>
      <c r="G18" s="5">
        <v>5</v>
      </c>
      <c r="H18" s="5">
        <f>(E18/G18)*(3+B$6)</f>
        <v>0</v>
      </c>
      <c r="I18" s="5"/>
    </row>
    <row r="19" spans="1:9">
      <c r="A19" s="5" t="s">
        <v>38</v>
      </c>
      <c r="B19" s="5" t="s">
        <v>39</v>
      </c>
      <c r="C19" s="5" t="str">
        <f>$B$4</f>
        <v>Win7</v>
      </c>
      <c r="D19" s="5"/>
      <c r="E19" s="5"/>
      <c r="F19" s="5"/>
      <c r="G19" s="5">
        <v>100</v>
      </c>
      <c r="H19" s="5">
        <f>E19/G19</f>
        <v>0</v>
      </c>
      <c r="I19" s="5"/>
    </row>
    <row r="20" spans="1:9">
      <c r="A20" s="5" t="s">
        <v>38</v>
      </c>
      <c r="B20" s="5" t="s">
        <v>55</v>
      </c>
      <c r="C20" s="5" t="str">
        <f t="shared" si="0"/>
        <v>Win7</v>
      </c>
      <c r="D20" s="5"/>
      <c r="E20" s="5"/>
      <c r="F20" s="5"/>
      <c r="G20" s="5">
        <v>10</v>
      </c>
      <c r="H20" s="5">
        <f>E20/G20</f>
        <v>0</v>
      </c>
      <c r="I20" s="5"/>
    </row>
    <row r="21" spans="1:9">
      <c r="A21" s="5" t="s">
        <v>38</v>
      </c>
      <c r="B21" s="5" t="s">
        <v>56</v>
      </c>
      <c r="C21" s="5" t="str">
        <f t="shared" si="0"/>
        <v>Win7</v>
      </c>
      <c r="D21" s="5"/>
      <c r="E21" s="5"/>
      <c r="F21" s="5"/>
      <c r="G21" s="5">
        <v>10</v>
      </c>
      <c r="H21" s="5">
        <f>E21/G21</f>
        <v>0</v>
      </c>
      <c r="I21" s="5"/>
    </row>
    <row r="22" spans="1:9">
      <c r="A22" s="5" t="s">
        <v>94</v>
      </c>
      <c r="B22" s="5" t="s">
        <v>95</v>
      </c>
      <c r="C22" s="5" t="str">
        <f t="shared" si="0"/>
        <v>Win7</v>
      </c>
      <c r="D22" s="5"/>
      <c r="E22" s="5"/>
      <c r="F22" s="5"/>
      <c r="G22" s="5">
        <v>16</v>
      </c>
      <c r="H22" s="5"/>
      <c r="I22" s="5"/>
    </row>
    <row r="23" spans="1:9">
      <c r="A23" s="5" t="s">
        <v>94</v>
      </c>
      <c r="B23" s="5" t="s">
        <v>96</v>
      </c>
      <c r="C23" s="5" t="str">
        <f t="shared" si="0"/>
        <v>Win7</v>
      </c>
      <c r="D23" s="5"/>
      <c r="E23" s="5"/>
      <c r="F23" s="5"/>
      <c r="G23" s="5">
        <v>16</v>
      </c>
      <c r="H23" s="5"/>
      <c r="I23" s="5"/>
    </row>
    <row r="24" spans="1:9">
      <c r="A24" s="5" t="s">
        <v>94</v>
      </c>
      <c r="B24" s="5" t="s">
        <v>97</v>
      </c>
      <c r="C24" s="5" t="str">
        <f t="shared" si="0"/>
        <v>Win7</v>
      </c>
      <c r="D24" s="5"/>
      <c r="E24" s="5"/>
      <c r="F24" s="5"/>
      <c r="G24" s="5">
        <v>16</v>
      </c>
      <c r="H24" s="5"/>
      <c r="I24" s="5"/>
    </row>
    <row r="25" spans="1:9">
      <c r="A25" s="5" t="s">
        <v>94</v>
      </c>
      <c r="B25" s="5" t="s">
        <v>98</v>
      </c>
      <c r="C25" s="5" t="str">
        <f t="shared" si="0"/>
        <v>Win7</v>
      </c>
      <c r="D25" s="5"/>
      <c r="E25" s="5"/>
      <c r="F25" s="5"/>
      <c r="G25" s="5">
        <v>16</v>
      </c>
      <c r="H25" s="5"/>
      <c r="I25" s="5"/>
    </row>
    <row r="26" spans="1:9">
      <c r="A26" s="5" t="s">
        <v>94</v>
      </c>
      <c r="B26" s="5" t="s">
        <v>99</v>
      </c>
      <c r="C26" s="5" t="str">
        <f t="shared" si="0"/>
        <v>Win7</v>
      </c>
      <c r="D26" s="5"/>
      <c r="E26" s="5"/>
      <c r="F26" s="5"/>
      <c r="G26" s="5">
        <v>16</v>
      </c>
      <c r="H26" s="5"/>
      <c r="I26" s="5"/>
    </row>
    <row r="27" spans="1:9">
      <c r="A27" s="5" t="s">
        <v>94</v>
      </c>
      <c r="B27" s="5" t="s">
        <v>100</v>
      </c>
      <c r="C27" s="5" t="str">
        <f t="shared" si="0"/>
        <v>Win7</v>
      </c>
      <c r="D27" s="5"/>
      <c r="E27" s="5"/>
      <c r="F27" s="5"/>
      <c r="G27" s="5">
        <v>16</v>
      </c>
      <c r="H27" s="5"/>
      <c r="I27" s="5"/>
    </row>
    <row r="28" spans="1:9">
      <c r="A28" s="5" t="s">
        <v>94</v>
      </c>
      <c r="B28" s="5" t="s">
        <v>101</v>
      </c>
      <c r="C28" s="5" t="str">
        <f t="shared" si="0"/>
        <v>Win7</v>
      </c>
      <c r="D28" s="5"/>
      <c r="E28" s="5"/>
      <c r="F28" s="5"/>
      <c r="G28" s="5">
        <v>16</v>
      </c>
      <c r="H28" s="5"/>
      <c r="I28" s="5"/>
    </row>
    <row r="29" spans="1:9">
      <c r="A29" s="5" t="s">
        <v>161</v>
      </c>
      <c r="B29" s="5" t="s">
        <v>145</v>
      </c>
      <c r="C29" s="5" t="str">
        <f t="shared" si="0"/>
        <v>Win7</v>
      </c>
      <c r="D29" s="5"/>
      <c r="E29" s="5"/>
      <c r="F29" s="5"/>
      <c r="G29" s="5">
        <v>1</v>
      </c>
      <c r="H29" s="5">
        <f>E29/G29</f>
        <v>0</v>
      </c>
      <c r="I29" s="5"/>
    </row>
    <row r="30" spans="1:9">
      <c r="A30" s="5" t="s">
        <v>162</v>
      </c>
      <c r="B30" s="5" t="s">
        <v>153</v>
      </c>
      <c r="C30" s="5" t="str">
        <f>$B$4</f>
        <v>Win7</v>
      </c>
      <c r="G30" s="5">
        <v>200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2:I15"/>
  <sheetViews>
    <sheetView workbookViewId="0">
      <selection activeCell="B22" sqref="B22"/>
    </sheetView>
  </sheetViews>
  <sheetFormatPr defaultRowHeight="15"/>
  <cols>
    <col min="1" max="1" width="43.42578125" bestFit="1" customWidth="1"/>
    <col min="2" max="2" width="35.5703125" bestFit="1" customWidth="1"/>
    <col min="3" max="3" width="8.7109375" bestFit="1" customWidth="1"/>
    <col min="4" max="4" width="7.85546875" bestFit="1" customWidth="1"/>
    <col min="5" max="5" width="5.140625" bestFit="1" customWidth="1"/>
    <col min="6" max="6" width="19.28515625" bestFit="1" customWidth="1"/>
    <col min="7" max="7" width="9" bestFit="1" customWidth="1"/>
    <col min="8" max="8" width="15.28515625" bestFit="1" customWidth="1"/>
    <col min="9" max="9" width="14.85546875" bestFit="1" customWidth="1"/>
  </cols>
  <sheetData>
    <row r="2" spans="1:9">
      <c r="A2" s="2" t="s">
        <v>20</v>
      </c>
    </row>
    <row r="3" spans="1:9">
      <c r="A3" s="3" t="s">
        <v>49</v>
      </c>
    </row>
    <row r="4" spans="1:9">
      <c r="A4" t="s">
        <v>27</v>
      </c>
      <c r="B4" t="s">
        <v>32</v>
      </c>
    </row>
    <row r="5" spans="1:9">
      <c r="A5" t="s">
        <v>149</v>
      </c>
    </row>
    <row r="6" spans="1:9">
      <c r="A6" t="s">
        <v>146</v>
      </c>
    </row>
    <row r="7" spans="1:9">
      <c r="A7" t="s">
        <v>147</v>
      </c>
    </row>
    <row r="8" spans="1:9">
      <c r="A8" t="s">
        <v>148</v>
      </c>
    </row>
    <row r="10" spans="1:9">
      <c r="A10" s="2" t="s">
        <v>21</v>
      </c>
      <c r="B10" s="2" t="s">
        <v>22</v>
      </c>
      <c r="C10" s="2" t="s">
        <v>27</v>
      </c>
      <c r="D10" s="2" t="s">
        <v>49</v>
      </c>
      <c r="E10" s="2" t="s">
        <v>23</v>
      </c>
      <c r="F10" s="2" t="s">
        <v>26</v>
      </c>
      <c r="G10" s="2" t="s">
        <v>152</v>
      </c>
      <c r="H10" s="2" t="s">
        <v>150</v>
      </c>
      <c r="I10" s="2" t="s">
        <v>151</v>
      </c>
    </row>
    <row r="11" spans="1:9">
      <c r="A11" t="s">
        <v>163</v>
      </c>
      <c r="B11" t="s">
        <v>154</v>
      </c>
      <c r="G11">
        <v>200</v>
      </c>
      <c r="H11">
        <v>20</v>
      </c>
      <c r="I11">
        <v>0</v>
      </c>
    </row>
    <row r="12" spans="1:9">
      <c r="A12" t="s">
        <v>164</v>
      </c>
      <c r="B12" t="s">
        <v>155</v>
      </c>
      <c r="G12">
        <v>200</v>
      </c>
      <c r="H12">
        <v>20</v>
      </c>
      <c r="I12">
        <v>0</v>
      </c>
    </row>
    <row r="13" spans="1:9">
      <c r="A13" t="s">
        <v>165</v>
      </c>
      <c r="B13" t="s">
        <v>156</v>
      </c>
      <c r="G13">
        <v>1000</v>
      </c>
      <c r="H13">
        <v>2</v>
      </c>
      <c r="I13">
        <v>6</v>
      </c>
    </row>
    <row r="14" spans="1:9">
      <c r="A14" t="s">
        <v>166</v>
      </c>
      <c r="B14" t="s">
        <v>157</v>
      </c>
      <c r="G14">
        <v>1000</v>
      </c>
      <c r="H14">
        <v>2</v>
      </c>
      <c r="I14">
        <v>6</v>
      </c>
    </row>
    <row r="15" spans="1:9">
      <c r="A15" t="s">
        <v>167</v>
      </c>
      <c r="B15" t="s">
        <v>158</v>
      </c>
      <c r="G15">
        <v>1000</v>
      </c>
      <c r="H15">
        <v>0</v>
      </c>
      <c r="I15">
        <v>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C8"/>
  <sheetViews>
    <sheetView workbookViewId="0">
      <selection activeCell="G35" sqref="G35"/>
    </sheetView>
  </sheetViews>
  <sheetFormatPr defaultRowHeight="15"/>
  <cols>
    <col min="1" max="1" width="12.5703125" bestFit="1" customWidth="1"/>
    <col min="2" max="2" width="9.5703125" bestFit="1" customWidth="1"/>
  </cols>
  <sheetData>
    <row r="2" spans="1:3">
      <c r="A2" s="2" t="s">
        <v>25</v>
      </c>
      <c r="B2" s="2" t="s">
        <v>27</v>
      </c>
      <c r="C2" s="2" t="s">
        <v>122</v>
      </c>
    </row>
    <row r="3" spans="1:3">
      <c r="A3" t="s">
        <v>28</v>
      </c>
      <c r="B3" t="s">
        <v>29</v>
      </c>
      <c r="C3">
        <v>8</v>
      </c>
    </row>
    <row r="4" spans="1:3">
      <c r="A4" t="s">
        <v>30</v>
      </c>
      <c r="B4" t="s">
        <v>29</v>
      </c>
      <c r="C4">
        <v>8</v>
      </c>
    </row>
    <row r="5" spans="1:3">
      <c r="A5" t="s">
        <v>31</v>
      </c>
      <c r="B5" t="s">
        <v>32</v>
      </c>
      <c r="C5">
        <v>8</v>
      </c>
    </row>
    <row r="6" spans="1:3">
      <c r="A6" t="s">
        <v>33</v>
      </c>
      <c r="B6" t="s">
        <v>121</v>
      </c>
      <c r="C6">
        <v>4</v>
      </c>
    </row>
    <row r="7" spans="1:3">
      <c r="A7" t="s">
        <v>120</v>
      </c>
      <c r="B7" t="s">
        <v>121</v>
      </c>
      <c r="C7">
        <v>7</v>
      </c>
    </row>
    <row r="8" spans="1:3">
      <c r="A8" t="s">
        <v>134</v>
      </c>
      <c r="B8" t="s">
        <v>32</v>
      </c>
      <c r="C8">
        <v>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273"/>
  <sheetViews>
    <sheetView tabSelected="1" topLeftCell="A221" workbookViewId="0">
      <selection activeCell="G240" sqref="G240"/>
    </sheetView>
  </sheetViews>
  <sheetFormatPr defaultRowHeight="15"/>
  <cols>
    <col min="1" max="1" width="38.28515625" style="5" bestFit="1" customWidth="1"/>
    <col min="2" max="2" width="41.42578125" style="5" bestFit="1" customWidth="1"/>
    <col min="3" max="3" width="8" style="9" customWidth="1"/>
    <col min="4" max="4" width="9.7109375" style="9" bestFit="1" customWidth="1"/>
    <col min="5" max="5" width="11.28515625" style="9" bestFit="1" customWidth="1"/>
    <col min="6" max="6" width="10.28515625" style="5" customWidth="1"/>
    <col min="7" max="7" width="44.85546875" style="6" customWidth="1"/>
    <col min="8" max="8" width="72.7109375" bestFit="1" customWidth="1"/>
  </cols>
  <sheetData>
    <row r="1" spans="1:8" ht="24.75">
      <c r="A1" s="13" t="s">
        <v>21</v>
      </c>
      <c r="B1" s="13" t="s">
        <v>22</v>
      </c>
      <c r="C1" s="10" t="s">
        <v>24</v>
      </c>
      <c r="D1" s="14" t="s">
        <v>23</v>
      </c>
      <c r="E1" s="14" t="s">
        <v>25</v>
      </c>
      <c r="F1" s="10" t="s">
        <v>26</v>
      </c>
      <c r="G1" s="11" t="s">
        <v>73</v>
      </c>
      <c r="H1" s="2" t="s">
        <v>47</v>
      </c>
    </row>
    <row r="2" spans="1:8">
      <c r="A2" s="5" t="s">
        <v>38</v>
      </c>
      <c r="B2" s="5" t="s">
        <v>39</v>
      </c>
      <c r="C2" s="9" t="s">
        <v>45</v>
      </c>
      <c r="D2" s="8">
        <v>41087</v>
      </c>
      <c r="E2" s="9" t="s">
        <v>31</v>
      </c>
      <c r="F2" s="7">
        <v>33.65</v>
      </c>
      <c r="G2" s="6" t="s">
        <v>52</v>
      </c>
      <c r="H2" s="5" t="s">
        <v>51</v>
      </c>
    </row>
    <row r="3" spans="1:8" ht="48.75">
      <c r="A3" s="5" t="s">
        <v>38</v>
      </c>
      <c r="B3" s="5" t="s">
        <v>39</v>
      </c>
      <c r="C3" s="9" t="s">
        <v>48</v>
      </c>
      <c r="D3" s="8">
        <v>41087</v>
      </c>
      <c r="E3" s="9" t="s">
        <v>31</v>
      </c>
      <c r="F3" s="7">
        <v>23.79</v>
      </c>
      <c r="G3" s="6" t="s">
        <v>53</v>
      </c>
      <c r="H3" s="5" t="s">
        <v>54</v>
      </c>
    </row>
    <row r="4" spans="1:8" ht="36.75">
      <c r="A4" s="5" t="s">
        <v>38</v>
      </c>
      <c r="B4" s="5" t="s">
        <v>39</v>
      </c>
      <c r="C4" s="9" t="s">
        <v>48</v>
      </c>
      <c r="D4" s="8">
        <v>41099</v>
      </c>
      <c r="E4" s="9" t="s">
        <v>31</v>
      </c>
      <c r="F4" s="7">
        <v>23.9</v>
      </c>
      <c r="G4" s="6" t="s">
        <v>58</v>
      </c>
      <c r="H4" s="5"/>
    </row>
    <row r="5" spans="1:8" s="5" customFormat="1" ht="60">
      <c r="A5" s="5" t="s">
        <v>38</v>
      </c>
      <c r="B5" s="5" t="s">
        <v>55</v>
      </c>
      <c r="C5" s="9" t="s">
        <v>48</v>
      </c>
      <c r="D5" s="8">
        <v>41099</v>
      </c>
      <c r="E5" s="9" t="s">
        <v>31</v>
      </c>
      <c r="F5" s="7">
        <v>41.95</v>
      </c>
      <c r="G5" s="6" t="s">
        <v>57</v>
      </c>
    </row>
    <row r="6" spans="1:8" s="5" customFormat="1" ht="24">
      <c r="A6" s="5" t="s">
        <v>38</v>
      </c>
      <c r="B6" s="5" t="s">
        <v>56</v>
      </c>
      <c r="C6" s="9" t="s">
        <v>48</v>
      </c>
      <c r="D6" s="8">
        <v>41099</v>
      </c>
      <c r="E6" s="9" t="s">
        <v>31</v>
      </c>
      <c r="F6" s="7">
        <v>23.99</v>
      </c>
      <c r="G6" s="6" t="s">
        <v>59</v>
      </c>
    </row>
    <row r="7" spans="1:8" s="5" customFormat="1" ht="48">
      <c r="A7" s="5" t="s">
        <v>36</v>
      </c>
      <c r="B7" s="5" t="s">
        <v>37</v>
      </c>
      <c r="C7" s="9" t="s">
        <v>65</v>
      </c>
      <c r="D7" s="8">
        <v>41143</v>
      </c>
      <c r="E7" s="9" t="s">
        <v>33</v>
      </c>
      <c r="F7" s="7">
        <v>9.6050000000000004</v>
      </c>
      <c r="G7" s="6" t="s">
        <v>67</v>
      </c>
    </row>
    <row r="8" spans="1:8" s="5" customFormat="1" ht="24">
      <c r="A8" s="5" t="s">
        <v>36</v>
      </c>
      <c r="B8" s="5" t="s">
        <v>61</v>
      </c>
      <c r="C8" s="9" t="s">
        <v>65</v>
      </c>
      <c r="D8" s="8">
        <v>41143</v>
      </c>
      <c r="E8" s="9" t="s">
        <v>33</v>
      </c>
      <c r="F8" s="7">
        <v>18.989999999999998</v>
      </c>
      <c r="G8" s="6" t="s">
        <v>68</v>
      </c>
    </row>
    <row r="9" spans="1:8" s="5" customFormat="1" ht="24">
      <c r="A9" s="5" t="s">
        <v>36</v>
      </c>
      <c r="B9" s="5" t="s">
        <v>62</v>
      </c>
      <c r="C9" s="9" t="s">
        <v>65</v>
      </c>
      <c r="D9" s="8">
        <v>41143</v>
      </c>
      <c r="E9" s="9" t="s">
        <v>33</v>
      </c>
      <c r="F9" s="7">
        <v>24.09</v>
      </c>
      <c r="G9" s="6" t="s">
        <v>68</v>
      </c>
    </row>
    <row r="10" spans="1:8" s="5" customFormat="1" ht="24">
      <c r="A10" s="5" t="s">
        <v>63</v>
      </c>
      <c r="B10" s="5" t="s">
        <v>60</v>
      </c>
      <c r="C10" s="9" t="s">
        <v>65</v>
      </c>
      <c r="D10" s="8">
        <v>41143</v>
      </c>
      <c r="E10" s="9" t="s">
        <v>33</v>
      </c>
      <c r="F10" s="7">
        <v>25.73</v>
      </c>
      <c r="G10" s="6" t="s">
        <v>68</v>
      </c>
    </row>
    <row r="11" spans="1:8" s="5" customFormat="1" ht="24">
      <c r="A11" s="5" t="s">
        <v>63</v>
      </c>
      <c r="B11" s="5" t="s">
        <v>66</v>
      </c>
      <c r="C11" s="9" t="s">
        <v>65</v>
      </c>
      <c r="D11" s="8">
        <v>41143</v>
      </c>
      <c r="E11" s="9" t="s">
        <v>33</v>
      </c>
      <c r="F11" s="7">
        <v>32.656999999999996</v>
      </c>
      <c r="G11" s="6" t="s">
        <v>68</v>
      </c>
    </row>
    <row r="12" spans="1:8" s="5" customFormat="1" ht="36">
      <c r="A12" s="5" t="s">
        <v>38</v>
      </c>
      <c r="B12" s="5" t="s">
        <v>39</v>
      </c>
      <c r="C12" s="9" t="s">
        <v>65</v>
      </c>
      <c r="D12" s="8">
        <v>41144</v>
      </c>
      <c r="E12" s="9" t="s">
        <v>33</v>
      </c>
      <c r="F12" s="7">
        <v>14.834</v>
      </c>
      <c r="G12" s="6" t="s">
        <v>69</v>
      </c>
    </row>
    <row r="13" spans="1:8" s="5" customFormat="1" ht="12">
      <c r="A13" s="5" t="s">
        <v>38</v>
      </c>
      <c r="B13" s="5" t="s">
        <v>55</v>
      </c>
      <c r="C13" s="9" t="s">
        <v>65</v>
      </c>
      <c r="D13" s="8">
        <v>41144</v>
      </c>
      <c r="E13" s="9" t="s">
        <v>33</v>
      </c>
      <c r="F13" s="7">
        <v>53.374000000000002</v>
      </c>
      <c r="G13" s="6" t="s">
        <v>71</v>
      </c>
    </row>
    <row r="14" spans="1:8" s="5" customFormat="1" ht="12">
      <c r="A14" s="5" t="s">
        <v>38</v>
      </c>
      <c r="B14" s="5" t="s">
        <v>56</v>
      </c>
      <c r="C14" s="9" t="s">
        <v>65</v>
      </c>
      <c r="D14" s="8">
        <v>41144</v>
      </c>
      <c r="E14" s="9" t="s">
        <v>33</v>
      </c>
      <c r="F14" s="7">
        <v>57.29</v>
      </c>
      <c r="G14" s="6" t="s">
        <v>71</v>
      </c>
    </row>
    <row r="15" spans="1:8" s="5" customFormat="1" ht="48">
      <c r="A15" s="5" t="s">
        <v>36</v>
      </c>
      <c r="B15" s="5" t="s">
        <v>37</v>
      </c>
      <c r="C15" s="9" t="s">
        <v>65</v>
      </c>
      <c r="D15" s="8">
        <v>41144</v>
      </c>
      <c r="E15" s="9" t="s">
        <v>31</v>
      </c>
      <c r="F15" s="7">
        <v>20.92</v>
      </c>
      <c r="G15" s="6" t="s">
        <v>70</v>
      </c>
    </row>
    <row r="16" spans="1:8" s="5" customFormat="1" ht="48">
      <c r="A16" s="5" t="s">
        <v>36</v>
      </c>
      <c r="B16" s="5" t="s">
        <v>61</v>
      </c>
      <c r="C16" s="9" t="s">
        <v>65</v>
      </c>
      <c r="D16" s="8">
        <v>41144</v>
      </c>
      <c r="E16" s="9" t="s">
        <v>31</v>
      </c>
      <c r="F16" s="7">
        <v>29.314</v>
      </c>
      <c r="G16" s="6" t="s">
        <v>74</v>
      </c>
    </row>
    <row r="17" spans="1:7" s="5" customFormat="1" ht="36" customHeight="1">
      <c r="A17" s="5" t="s">
        <v>36</v>
      </c>
      <c r="B17" s="5" t="s">
        <v>62</v>
      </c>
      <c r="C17" s="9" t="s">
        <v>65</v>
      </c>
      <c r="D17" s="8">
        <v>41144</v>
      </c>
      <c r="E17" s="9" t="s">
        <v>31</v>
      </c>
      <c r="F17" s="7">
        <v>34.040999999999997</v>
      </c>
      <c r="G17" s="6" t="s">
        <v>75</v>
      </c>
    </row>
    <row r="18" spans="1:7" s="5" customFormat="1" ht="24">
      <c r="A18" s="5" t="s">
        <v>63</v>
      </c>
      <c r="B18" s="5" t="s">
        <v>60</v>
      </c>
      <c r="C18" s="9" t="s">
        <v>65</v>
      </c>
      <c r="D18" s="8">
        <v>41144</v>
      </c>
      <c r="E18" s="9" t="s">
        <v>31</v>
      </c>
      <c r="F18" s="7">
        <v>43.555999999999997</v>
      </c>
      <c r="G18" s="6" t="s">
        <v>76</v>
      </c>
    </row>
    <row r="19" spans="1:7" s="5" customFormat="1" ht="24">
      <c r="A19" s="5" t="s">
        <v>63</v>
      </c>
      <c r="B19" s="5" t="s">
        <v>66</v>
      </c>
      <c r="C19" s="9" t="s">
        <v>65</v>
      </c>
      <c r="D19" s="8">
        <v>41144</v>
      </c>
      <c r="E19" s="9" t="s">
        <v>31</v>
      </c>
      <c r="F19" s="7">
        <v>52.354999999999997</v>
      </c>
      <c r="G19" s="6" t="s">
        <v>77</v>
      </c>
    </row>
    <row r="20" spans="1:7" s="5" customFormat="1" ht="48" customHeight="1">
      <c r="A20" s="5" t="s">
        <v>38</v>
      </c>
      <c r="B20" s="5" t="s">
        <v>39</v>
      </c>
      <c r="C20" s="9" t="s">
        <v>65</v>
      </c>
      <c r="D20" s="8">
        <v>41144</v>
      </c>
      <c r="E20" s="9" t="s">
        <v>31</v>
      </c>
      <c r="F20" s="7">
        <v>27.16</v>
      </c>
      <c r="G20" s="6" t="s">
        <v>72</v>
      </c>
    </row>
    <row r="21" spans="1:7" s="5" customFormat="1" ht="12">
      <c r="A21" s="5" t="s">
        <v>38</v>
      </c>
      <c r="B21" s="5" t="s">
        <v>55</v>
      </c>
      <c r="C21" s="9" t="s">
        <v>65</v>
      </c>
      <c r="D21" s="8">
        <v>41144</v>
      </c>
      <c r="E21" s="9" t="s">
        <v>31</v>
      </c>
      <c r="F21" s="7">
        <v>81.088999999999999</v>
      </c>
      <c r="G21" s="6" t="s">
        <v>78</v>
      </c>
    </row>
    <row r="22" spans="1:7" s="5" customFormat="1" ht="24">
      <c r="A22" s="5" t="s">
        <v>38</v>
      </c>
      <c r="B22" s="5" t="s">
        <v>56</v>
      </c>
      <c r="C22" s="9" t="s">
        <v>65</v>
      </c>
      <c r="D22" s="8">
        <v>41144</v>
      </c>
      <c r="E22" s="9" t="s">
        <v>31</v>
      </c>
      <c r="F22" s="7">
        <v>76.176000000000002</v>
      </c>
      <c r="G22" s="6" t="s">
        <v>79</v>
      </c>
    </row>
    <row r="23" spans="1:7" s="5" customFormat="1" ht="12">
      <c r="A23" s="5" t="s">
        <v>36</v>
      </c>
      <c r="B23" s="5" t="s">
        <v>37</v>
      </c>
      <c r="C23" s="9" t="s">
        <v>80</v>
      </c>
      <c r="D23" s="8">
        <v>41149</v>
      </c>
      <c r="E23" s="9" t="s">
        <v>33</v>
      </c>
      <c r="F23" s="7">
        <v>7.44</v>
      </c>
      <c r="G23" s="6" t="s">
        <v>86</v>
      </c>
    </row>
    <row r="24" spans="1:7" s="5" customFormat="1" ht="12">
      <c r="A24" s="5" t="s">
        <v>36</v>
      </c>
      <c r="B24" s="5" t="s">
        <v>61</v>
      </c>
      <c r="C24" s="9" t="s">
        <v>80</v>
      </c>
      <c r="D24" s="8">
        <v>41149</v>
      </c>
      <c r="E24" s="9" t="s">
        <v>33</v>
      </c>
      <c r="F24" s="7">
        <v>3.41</v>
      </c>
      <c r="G24" s="6" t="s">
        <v>87</v>
      </c>
    </row>
    <row r="25" spans="1:7" s="5" customFormat="1" ht="12">
      <c r="A25" s="5" t="s">
        <v>36</v>
      </c>
      <c r="B25" s="5" t="s">
        <v>62</v>
      </c>
      <c r="C25" s="9" t="s">
        <v>80</v>
      </c>
      <c r="D25" s="8">
        <v>41149</v>
      </c>
      <c r="E25" s="9" t="s">
        <v>33</v>
      </c>
      <c r="F25" s="7">
        <v>4.62</v>
      </c>
      <c r="G25" s="6" t="s">
        <v>88</v>
      </c>
    </row>
    <row r="26" spans="1:7" s="5" customFormat="1" ht="12">
      <c r="A26" s="5" t="s">
        <v>63</v>
      </c>
      <c r="B26" s="5" t="s">
        <v>60</v>
      </c>
      <c r="C26" s="9" t="s">
        <v>80</v>
      </c>
      <c r="D26" s="8">
        <v>41149</v>
      </c>
      <c r="E26" s="9" t="s">
        <v>33</v>
      </c>
      <c r="F26" s="7">
        <v>6.98</v>
      </c>
      <c r="G26" s="6" t="s">
        <v>89</v>
      </c>
    </row>
    <row r="27" spans="1:7" s="5" customFormat="1" ht="12">
      <c r="A27" s="5" t="s">
        <v>63</v>
      </c>
      <c r="B27" s="5" t="s">
        <v>66</v>
      </c>
      <c r="C27" s="9" t="s">
        <v>80</v>
      </c>
      <c r="D27" s="8">
        <v>41149</v>
      </c>
      <c r="E27" s="9" t="s">
        <v>33</v>
      </c>
      <c r="F27" s="7">
        <v>9.3699999999999992</v>
      </c>
      <c r="G27" s="6" t="s">
        <v>90</v>
      </c>
    </row>
    <row r="28" spans="1:7">
      <c r="A28" s="5" t="s">
        <v>36</v>
      </c>
      <c r="B28" s="5" t="s">
        <v>37</v>
      </c>
      <c r="C28" s="9" t="s">
        <v>80</v>
      </c>
      <c r="D28" s="8">
        <v>41150</v>
      </c>
      <c r="E28" s="9" t="s">
        <v>31</v>
      </c>
      <c r="F28" s="7">
        <v>16.568000000000001</v>
      </c>
      <c r="G28" s="6" t="s">
        <v>81</v>
      </c>
    </row>
    <row r="29" spans="1:7">
      <c r="A29" s="5" t="s">
        <v>36</v>
      </c>
      <c r="B29" s="5" t="s">
        <v>61</v>
      </c>
      <c r="C29" s="9" t="s">
        <v>80</v>
      </c>
      <c r="D29" s="8">
        <v>41150</v>
      </c>
      <c r="E29" s="9" t="s">
        <v>31</v>
      </c>
      <c r="F29" s="7">
        <v>7.3789999999999996</v>
      </c>
      <c r="G29" s="6" t="s">
        <v>82</v>
      </c>
    </row>
    <row r="30" spans="1:7">
      <c r="A30" s="5" t="s">
        <v>36</v>
      </c>
      <c r="B30" s="5" t="s">
        <v>62</v>
      </c>
      <c r="C30" s="9" t="s">
        <v>80</v>
      </c>
      <c r="D30" s="8">
        <v>41150</v>
      </c>
      <c r="E30" s="9" t="s">
        <v>31</v>
      </c>
      <c r="F30" s="7">
        <v>13.76</v>
      </c>
      <c r="G30" s="6" t="s">
        <v>83</v>
      </c>
    </row>
    <row r="31" spans="1:7">
      <c r="A31" s="5" t="s">
        <v>63</v>
      </c>
      <c r="B31" s="5" t="s">
        <v>60</v>
      </c>
      <c r="C31" s="9" t="s">
        <v>80</v>
      </c>
      <c r="D31" s="8">
        <v>41150</v>
      </c>
      <c r="E31" s="9" t="s">
        <v>31</v>
      </c>
      <c r="F31" s="7">
        <v>14.321</v>
      </c>
      <c r="G31" s="6" t="s">
        <v>84</v>
      </c>
    </row>
    <row r="32" spans="1:7">
      <c r="A32" s="5" t="s">
        <v>63</v>
      </c>
      <c r="B32" s="5" t="s">
        <v>66</v>
      </c>
      <c r="C32" s="9" t="s">
        <v>80</v>
      </c>
      <c r="D32" s="8">
        <v>41150</v>
      </c>
      <c r="E32" s="9" t="s">
        <v>31</v>
      </c>
      <c r="F32" s="7">
        <v>17.988</v>
      </c>
      <c r="G32" s="6" t="s">
        <v>85</v>
      </c>
    </row>
    <row r="33" spans="1:7">
      <c r="A33" s="5" t="s">
        <v>38</v>
      </c>
      <c r="B33" s="5" t="s">
        <v>39</v>
      </c>
      <c r="C33" s="9" t="s">
        <v>80</v>
      </c>
      <c r="D33" s="8">
        <v>41150</v>
      </c>
      <c r="E33" s="9" t="s">
        <v>31</v>
      </c>
      <c r="F33" s="7">
        <v>20.936</v>
      </c>
      <c r="G33" s="6" t="s">
        <v>86</v>
      </c>
    </row>
    <row r="34" spans="1:7">
      <c r="A34" s="5" t="s">
        <v>38</v>
      </c>
      <c r="B34" s="5" t="s">
        <v>55</v>
      </c>
      <c r="C34" s="9" t="s">
        <v>80</v>
      </c>
      <c r="D34" s="8">
        <v>41150</v>
      </c>
      <c r="E34" s="9" t="s">
        <v>31</v>
      </c>
      <c r="F34" s="7">
        <v>26.303000000000001</v>
      </c>
      <c r="G34" s="6" t="s">
        <v>84</v>
      </c>
    </row>
    <row r="35" spans="1:7">
      <c r="A35" s="5" t="s">
        <v>38</v>
      </c>
      <c r="B35" s="5" t="s">
        <v>56</v>
      </c>
      <c r="C35" s="9" t="s">
        <v>80</v>
      </c>
      <c r="D35" s="8">
        <v>41150</v>
      </c>
      <c r="E35" s="9" t="s">
        <v>31</v>
      </c>
      <c r="F35" s="7">
        <v>21.841000000000001</v>
      </c>
      <c r="G35" s="6" t="s">
        <v>90</v>
      </c>
    </row>
    <row r="36" spans="1:7">
      <c r="A36" s="5" t="s">
        <v>38</v>
      </c>
      <c r="B36" s="5" t="s">
        <v>39</v>
      </c>
      <c r="C36" s="9" t="s">
        <v>80</v>
      </c>
      <c r="D36" s="8">
        <v>41150</v>
      </c>
      <c r="E36" s="9" t="s">
        <v>33</v>
      </c>
      <c r="F36" s="7">
        <v>12.653</v>
      </c>
      <c r="G36" s="6" t="s">
        <v>92</v>
      </c>
    </row>
    <row r="37" spans="1:7">
      <c r="A37" s="5" t="s">
        <v>38</v>
      </c>
      <c r="B37" s="5" t="s">
        <v>56</v>
      </c>
      <c r="C37" s="9" t="s">
        <v>80</v>
      </c>
      <c r="D37" s="8">
        <v>41150</v>
      </c>
      <c r="E37" s="9" t="s">
        <v>33</v>
      </c>
      <c r="F37" s="7">
        <v>15.894</v>
      </c>
      <c r="G37" s="6" t="s">
        <v>91</v>
      </c>
    </row>
    <row r="38" spans="1:7">
      <c r="A38" s="5" t="s">
        <v>94</v>
      </c>
      <c r="B38" s="5" t="s">
        <v>95</v>
      </c>
      <c r="C38" s="9" t="s">
        <v>80</v>
      </c>
      <c r="D38" s="8">
        <v>41151</v>
      </c>
      <c r="E38" s="9" t="s">
        <v>31</v>
      </c>
      <c r="F38" s="12">
        <v>532.14099999999996</v>
      </c>
      <c r="G38" s="6" t="s">
        <v>102</v>
      </c>
    </row>
    <row r="39" spans="1:7">
      <c r="A39" s="5" t="s">
        <v>94</v>
      </c>
      <c r="B39" s="5" t="s">
        <v>96</v>
      </c>
      <c r="C39" s="9" t="s">
        <v>80</v>
      </c>
      <c r="D39" s="8">
        <v>41151</v>
      </c>
      <c r="E39" s="9" t="s">
        <v>31</v>
      </c>
      <c r="F39" s="12">
        <v>285.29700000000003</v>
      </c>
    </row>
    <row r="40" spans="1:7">
      <c r="A40" s="5" t="s">
        <v>94</v>
      </c>
      <c r="B40" s="5" t="s">
        <v>97</v>
      </c>
      <c r="C40" s="9" t="s">
        <v>80</v>
      </c>
      <c r="D40" s="8">
        <v>41151</v>
      </c>
      <c r="E40" s="9" t="s">
        <v>31</v>
      </c>
      <c r="F40" s="12">
        <v>244.05099999999999</v>
      </c>
    </row>
    <row r="41" spans="1:7">
      <c r="A41" s="5" t="s">
        <v>94</v>
      </c>
      <c r="B41" s="5" t="s">
        <v>98</v>
      </c>
      <c r="C41" s="9" t="s">
        <v>80</v>
      </c>
      <c r="D41" s="8">
        <v>41151</v>
      </c>
      <c r="E41" s="9" t="s">
        <v>31</v>
      </c>
      <c r="F41" s="12">
        <v>230.697</v>
      </c>
    </row>
    <row r="42" spans="1:7">
      <c r="A42" s="5" t="s">
        <v>94</v>
      </c>
      <c r="B42" s="5" t="s">
        <v>99</v>
      </c>
      <c r="C42" s="9" t="s">
        <v>80</v>
      </c>
      <c r="D42" s="8">
        <v>41151</v>
      </c>
      <c r="E42" s="9" t="s">
        <v>31</v>
      </c>
      <c r="F42" s="12">
        <v>321.99099999999999</v>
      </c>
    </row>
    <row r="43" spans="1:7">
      <c r="A43" s="5" t="s">
        <v>94</v>
      </c>
      <c r="B43" s="5" t="s">
        <v>100</v>
      </c>
      <c r="C43" s="9" t="s">
        <v>80</v>
      </c>
      <c r="D43" s="8">
        <v>41151</v>
      </c>
      <c r="E43" s="9" t="s">
        <v>31</v>
      </c>
      <c r="F43" s="12">
        <v>228.733</v>
      </c>
    </row>
    <row r="44" spans="1:7">
      <c r="A44" s="5" t="s">
        <v>94</v>
      </c>
      <c r="B44" s="5" t="s">
        <v>101</v>
      </c>
      <c r="C44" s="9" t="s">
        <v>80</v>
      </c>
      <c r="D44" s="8">
        <v>41151</v>
      </c>
      <c r="E44" s="9" t="s">
        <v>31</v>
      </c>
      <c r="F44" s="12">
        <v>244.39400000000001</v>
      </c>
    </row>
    <row r="45" spans="1:7">
      <c r="A45" s="5" t="s">
        <v>94</v>
      </c>
      <c r="B45" s="5" t="s">
        <v>95</v>
      </c>
      <c r="C45" s="9" t="s">
        <v>80</v>
      </c>
      <c r="D45" s="8">
        <v>41152</v>
      </c>
      <c r="E45" s="9" t="s">
        <v>33</v>
      </c>
      <c r="F45" s="12">
        <v>623.19000000000005</v>
      </c>
      <c r="G45" s="6" t="s">
        <v>102</v>
      </c>
    </row>
    <row r="46" spans="1:7">
      <c r="A46" s="5" t="s">
        <v>94</v>
      </c>
      <c r="B46" s="5" t="s">
        <v>96</v>
      </c>
      <c r="C46" s="9" t="s">
        <v>80</v>
      </c>
      <c r="D46" s="8">
        <v>41152</v>
      </c>
      <c r="E46" s="9" t="s">
        <v>33</v>
      </c>
      <c r="F46" s="12">
        <v>202.5</v>
      </c>
    </row>
    <row r="47" spans="1:7">
      <c r="A47" s="5" t="s">
        <v>94</v>
      </c>
      <c r="B47" s="5" t="s">
        <v>97</v>
      </c>
      <c r="C47" s="9" t="s">
        <v>80</v>
      </c>
      <c r="D47" s="8">
        <v>41152</v>
      </c>
      <c r="E47" s="9" t="s">
        <v>33</v>
      </c>
      <c r="F47" s="12">
        <v>159.11199999999999</v>
      </c>
    </row>
    <row r="48" spans="1:7">
      <c r="A48" s="5" t="s">
        <v>94</v>
      </c>
      <c r="B48" s="5" t="s">
        <v>98</v>
      </c>
      <c r="C48" s="9" t="s">
        <v>80</v>
      </c>
      <c r="D48" s="8">
        <v>41152</v>
      </c>
      <c r="E48" s="9" t="s">
        <v>33</v>
      </c>
      <c r="F48" s="12">
        <v>157.33799999999999</v>
      </c>
    </row>
    <row r="49" spans="1:6">
      <c r="A49" s="5" t="s">
        <v>94</v>
      </c>
      <c r="B49" s="5" t="s">
        <v>99</v>
      </c>
      <c r="C49" s="9" t="s">
        <v>80</v>
      </c>
      <c r="D49" s="8">
        <v>41152</v>
      </c>
      <c r="E49" s="9" t="s">
        <v>33</v>
      </c>
      <c r="F49" s="12">
        <v>154.59</v>
      </c>
    </row>
    <row r="50" spans="1:6">
      <c r="A50" s="5" t="s">
        <v>94</v>
      </c>
      <c r="B50" s="5" t="s">
        <v>100</v>
      </c>
      <c r="C50" s="9" t="s">
        <v>80</v>
      </c>
      <c r="D50" s="8">
        <v>41152</v>
      </c>
      <c r="E50" s="9" t="s">
        <v>33</v>
      </c>
      <c r="F50" s="12">
        <v>162.607</v>
      </c>
    </row>
    <row r="51" spans="1:6">
      <c r="A51" s="5" t="s">
        <v>94</v>
      </c>
      <c r="B51" s="5" t="s">
        <v>101</v>
      </c>
      <c r="C51" s="9" t="s">
        <v>80</v>
      </c>
      <c r="D51" s="8">
        <v>41152</v>
      </c>
      <c r="E51" s="9" t="s">
        <v>33</v>
      </c>
      <c r="F51" s="12">
        <v>165.768</v>
      </c>
    </row>
    <row r="52" spans="1:6">
      <c r="A52" s="5" t="s">
        <v>38</v>
      </c>
      <c r="B52" s="5" t="s">
        <v>39</v>
      </c>
      <c r="C52" s="9" t="s">
        <v>103</v>
      </c>
      <c r="D52" s="8">
        <v>41191</v>
      </c>
      <c r="E52" s="9" t="s">
        <v>31</v>
      </c>
      <c r="F52" s="7">
        <v>21.981000000000002</v>
      </c>
    </row>
    <row r="53" spans="1:6">
      <c r="A53" s="5" t="s">
        <v>38</v>
      </c>
      <c r="B53" s="5" t="s">
        <v>55</v>
      </c>
      <c r="C53" s="9" t="s">
        <v>103</v>
      </c>
      <c r="D53" s="8">
        <v>41191</v>
      </c>
      <c r="E53" s="9" t="s">
        <v>31</v>
      </c>
      <c r="F53" s="7">
        <v>27.175000000000001</v>
      </c>
    </row>
    <row r="54" spans="1:6">
      <c r="A54" s="5" t="s">
        <v>38</v>
      </c>
      <c r="B54" s="5" t="s">
        <v>56</v>
      </c>
      <c r="C54" s="9" t="s">
        <v>103</v>
      </c>
      <c r="D54" s="8">
        <v>41191</v>
      </c>
      <c r="E54" s="9" t="s">
        <v>31</v>
      </c>
      <c r="F54" s="7">
        <v>28.018000000000001</v>
      </c>
    </row>
    <row r="55" spans="1:6">
      <c r="A55" s="5" t="s">
        <v>94</v>
      </c>
      <c r="B55" s="5" t="s">
        <v>95</v>
      </c>
      <c r="C55" s="9" t="s">
        <v>103</v>
      </c>
      <c r="D55" s="8">
        <v>41191</v>
      </c>
      <c r="E55" s="9" t="s">
        <v>31</v>
      </c>
      <c r="F55" s="12">
        <v>802.09500000000003</v>
      </c>
    </row>
    <row r="56" spans="1:6">
      <c r="A56" s="5" t="s">
        <v>94</v>
      </c>
      <c r="B56" s="5" t="s">
        <v>96</v>
      </c>
      <c r="C56" s="9" t="s">
        <v>103</v>
      </c>
      <c r="D56" s="8">
        <v>41191</v>
      </c>
      <c r="E56" s="9" t="s">
        <v>31</v>
      </c>
      <c r="F56" s="12">
        <v>339.505</v>
      </c>
    </row>
    <row r="57" spans="1:6">
      <c r="A57" s="5" t="s">
        <v>94</v>
      </c>
      <c r="B57" s="5" t="s">
        <v>97</v>
      </c>
      <c r="C57" s="9" t="s">
        <v>103</v>
      </c>
      <c r="D57" s="8">
        <v>41191</v>
      </c>
      <c r="E57" s="9" t="s">
        <v>31</v>
      </c>
      <c r="F57" s="12">
        <v>252.637</v>
      </c>
    </row>
    <row r="58" spans="1:6">
      <c r="A58" s="5" t="s">
        <v>94</v>
      </c>
      <c r="B58" s="5" t="s">
        <v>98</v>
      </c>
      <c r="C58" s="9" t="s">
        <v>103</v>
      </c>
      <c r="D58" s="8">
        <v>41191</v>
      </c>
      <c r="E58" s="9" t="s">
        <v>31</v>
      </c>
      <c r="F58" s="12">
        <v>284.82400000000001</v>
      </c>
    </row>
    <row r="59" spans="1:6">
      <c r="A59" s="5" t="s">
        <v>94</v>
      </c>
      <c r="B59" s="5" t="s">
        <v>99</v>
      </c>
      <c r="C59" s="9" t="s">
        <v>103</v>
      </c>
      <c r="D59" s="8">
        <v>41191</v>
      </c>
      <c r="E59" s="9" t="s">
        <v>31</v>
      </c>
      <c r="F59" s="12">
        <v>275.42</v>
      </c>
    </row>
    <row r="60" spans="1:6">
      <c r="A60" s="5" t="s">
        <v>94</v>
      </c>
      <c r="B60" s="5" t="s">
        <v>100</v>
      </c>
      <c r="C60" s="9" t="s">
        <v>103</v>
      </c>
      <c r="D60" s="8">
        <v>41191</v>
      </c>
      <c r="E60" s="9" t="s">
        <v>31</v>
      </c>
      <c r="F60" s="12">
        <v>294.779</v>
      </c>
    </row>
    <row r="61" spans="1:6">
      <c r="A61" s="5" t="s">
        <v>94</v>
      </c>
      <c r="B61" s="5" t="s">
        <v>101</v>
      </c>
      <c r="C61" s="9" t="s">
        <v>103</v>
      </c>
      <c r="D61" s="8">
        <v>41191</v>
      </c>
      <c r="E61" s="9" t="s">
        <v>31</v>
      </c>
      <c r="F61" s="12">
        <v>273.82900000000001</v>
      </c>
    </row>
    <row r="62" spans="1:6">
      <c r="A62" s="5" t="s">
        <v>94</v>
      </c>
      <c r="B62" s="5" t="s">
        <v>95</v>
      </c>
      <c r="C62" s="9" t="s">
        <v>103</v>
      </c>
      <c r="D62" s="8">
        <v>41191</v>
      </c>
      <c r="E62" s="9" t="s">
        <v>33</v>
      </c>
      <c r="F62" s="12">
        <v>1144.546</v>
      </c>
    </row>
    <row r="63" spans="1:6">
      <c r="A63" s="5" t="s">
        <v>94</v>
      </c>
      <c r="B63" s="5" t="s">
        <v>96</v>
      </c>
      <c r="C63" s="9" t="s">
        <v>103</v>
      </c>
      <c r="D63" s="8">
        <v>41191</v>
      </c>
      <c r="E63" s="9" t="s">
        <v>33</v>
      </c>
      <c r="F63" s="12">
        <v>336.62700000000001</v>
      </c>
    </row>
    <row r="64" spans="1:6">
      <c r="A64" s="5" t="s">
        <v>94</v>
      </c>
      <c r="B64" s="5" t="s">
        <v>97</v>
      </c>
      <c r="C64" s="9" t="s">
        <v>103</v>
      </c>
      <c r="D64" s="8">
        <v>41191</v>
      </c>
      <c r="E64" s="9" t="s">
        <v>33</v>
      </c>
      <c r="F64" s="12">
        <v>181.66370000000001</v>
      </c>
    </row>
    <row r="65" spans="1:7">
      <c r="A65" s="5" t="s">
        <v>94</v>
      </c>
      <c r="B65" s="5" t="s">
        <v>98</v>
      </c>
      <c r="C65" s="9" t="s">
        <v>103</v>
      </c>
      <c r="D65" s="8">
        <v>41191</v>
      </c>
      <c r="E65" s="9" t="s">
        <v>33</v>
      </c>
      <c r="F65" s="12">
        <v>174.53299999999999</v>
      </c>
    </row>
    <row r="66" spans="1:7">
      <c r="A66" s="5" t="s">
        <v>94</v>
      </c>
      <c r="B66" s="5" t="s">
        <v>99</v>
      </c>
      <c r="C66" s="9" t="s">
        <v>103</v>
      </c>
      <c r="D66" s="8">
        <v>41191</v>
      </c>
      <c r="E66" s="9" t="s">
        <v>33</v>
      </c>
      <c r="F66" s="12">
        <v>177.744</v>
      </c>
    </row>
    <row r="67" spans="1:7">
      <c r="A67" s="5" t="s">
        <v>94</v>
      </c>
      <c r="B67" s="5" t="s">
        <v>100</v>
      </c>
      <c r="C67" s="9" t="s">
        <v>103</v>
      </c>
      <c r="D67" s="8">
        <v>41191</v>
      </c>
      <c r="E67" s="9" t="s">
        <v>33</v>
      </c>
      <c r="F67" s="12">
        <v>181.791</v>
      </c>
    </row>
    <row r="68" spans="1:7">
      <c r="A68" s="5" t="s">
        <v>94</v>
      </c>
      <c r="B68" s="5" t="s">
        <v>101</v>
      </c>
      <c r="C68" s="9" t="s">
        <v>103</v>
      </c>
      <c r="D68" s="8">
        <v>41191</v>
      </c>
      <c r="E68" s="9" t="s">
        <v>33</v>
      </c>
      <c r="F68" s="12">
        <v>184.053</v>
      </c>
    </row>
    <row r="69" spans="1:7">
      <c r="A69" s="5" t="s">
        <v>94</v>
      </c>
      <c r="B69" s="5" t="s">
        <v>105</v>
      </c>
      <c r="C69" s="9" t="s">
        <v>103</v>
      </c>
      <c r="D69" s="8">
        <v>41193</v>
      </c>
      <c r="E69" s="9" t="s">
        <v>33</v>
      </c>
      <c r="F69" s="5">
        <v>2529</v>
      </c>
    </row>
    <row r="70" spans="1:7">
      <c r="A70" s="5" t="s">
        <v>94</v>
      </c>
      <c r="B70" s="5" t="s">
        <v>95</v>
      </c>
      <c r="C70" s="9" t="s">
        <v>106</v>
      </c>
      <c r="D70" s="8">
        <v>41197</v>
      </c>
      <c r="E70" s="9" t="s">
        <v>31</v>
      </c>
      <c r="F70" s="12">
        <v>594.34299999999996</v>
      </c>
      <c r="G70" s="6" t="s">
        <v>112</v>
      </c>
    </row>
    <row r="71" spans="1:7">
      <c r="A71" s="5" t="s">
        <v>94</v>
      </c>
      <c r="B71" s="5" t="s">
        <v>96</v>
      </c>
      <c r="C71" s="9" t="s">
        <v>106</v>
      </c>
      <c r="D71" s="8">
        <v>41197</v>
      </c>
      <c r="E71" s="9" t="s">
        <v>31</v>
      </c>
      <c r="F71" s="12">
        <v>259.899</v>
      </c>
      <c r="G71" s="6" t="s">
        <v>113</v>
      </c>
    </row>
    <row r="72" spans="1:7">
      <c r="A72" s="5" t="s">
        <v>94</v>
      </c>
      <c r="B72" s="5" t="s">
        <v>97</v>
      </c>
      <c r="C72" s="9" t="s">
        <v>106</v>
      </c>
      <c r="D72" s="8">
        <v>41197</v>
      </c>
      <c r="E72" s="9" t="s">
        <v>31</v>
      </c>
      <c r="F72" s="12">
        <v>257.73200000000003</v>
      </c>
      <c r="G72" s="12" t="s">
        <v>107</v>
      </c>
    </row>
    <row r="73" spans="1:7">
      <c r="A73" s="5" t="s">
        <v>94</v>
      </c>
      <c r="B73" s="5" t="s">
        <v>98</v>
      </c>
      <c r="C73" s="9" t="s">
        <v>106</v>
      </c>
      <c r="D73" s="8">
        <v>41197</v>
      </c>
      <c r="E73" s="9" t="s">
        <v>31</v>
      </c>
      <c r="F73" s="12">
        <v>256.65300000000002</v>
      </c>
      <c r="G73" s="12" t="s">
        <v>108</v>
      </c>
    </row>
    <row r="74" spans="1:7">
      <c r="A74" s="5" t="s">
        <v>94</v>
      </c>
      <c r="B74" s="5" t="s">
        <v>99</v>
      </c>
      <c r="C74" s="9" t="s">
        <v>106</v>
      </c>
      <c r="D74" s="8">
        <v>41197</v>
      </c>
      <c r="E74" s="9" t="s">
        <v>31</v>
      </c>
      <c r="F74" s="12">
        <v>267.69799999999998</v>
      </c>
      <c r="G74" s="12" t="s">
        <v>109</v>
      </c>
    </row>
    <row r="75" spans="1:7">
      <c r="A75" s="5" t="s">
        <v>94</v>
      </c>
      <c r="B75" s="5" t="s">
        <v>100</v>
      </c>
      <c r="C75" s="9" t="s">
        <v>106</v>
      </c>
      <c r="D75" s="8">
        <v>41197</v>
      </c>
      <c r="E75" s="9" t="s">
        <v>31</v>
      </c>
      <c r="F75" s="12">
        <v>275.09199999999998</v>
      </c>
      <c r="G75" s="12" t="s">
        <v>110</v>
      </c>
    </row>
    <row r="76" spans="1:7">
      <c r="A76" s="5" t="s">
        <v>94</v>
      </c>
      <c r="B76" s="5" t="s">
        <v>101</v>
      </c>
      <c r="C76" s="9" t="s">
        <v>106</v>
      </c>
      <c r="D76" s="8">
        <v>41197</v>
      </c>
      <c r="E76" s="9" t="s">
        <v>31</v>
      </c>
      <c r="F76" s="12">
        <v>268.322</v>
      </c>
      <c r="G76" s="12" t="s">
        <v>111</v>
      </c>
    </row>
    <row r="77" spans="1:7">
      <c r="A77" s="5" t="s">
        <v>94</v>
      </c>
      <c r="B77" s="5" t="s">
        <v>105</v>
      </c>
      <c r="C77" s="9" t="s">
        <v>106</v>
      </c>
      <c r="D77" s="8">
        <v>41197</v>
      </c>
      <c r="E77" s="9" t="s">
        <v>31</v>
      </c>
      <c r="F77" s="15">
        <v>2981.759</v>
      </c>
    </row>
    <row r="78" spans="1:7">
      <c r="A78" s="5" t="s">
        <v>94</v>
      </c>
      <c r="B78" s="5" t="s">
        <v>95</v>
      </c>
      <c r="C78" s="9" t="s">
        <v>106</v>
      </c>
      <c r="D78" s="8">
        <v>41197</v>
      </c>
      <c r="E78" s="9" t="s">
        <v>33</v>
      </c>
      <c r="F78" s="12">
        <v>619.08299999999997</v>
      </c>
      <c r="G78" s="12" t="s">
        <v>114</v>
      </c>
    </row>
    <row r="79" spans="1:7">
      <c r="A79" s="5" t="s">
        <v>94</v>
      </c>
      <c r="B79" s="5" t="s">
        <v>96</v>
      </c>
      <c r="C79" s="9" t="s">
        <v>106</v>
      </c>
      <c r="D79" s="8">
        <v>41197</v>
      </c>
      <c r="E79" s="9" t="s">
        <v>33</v>
      </c>
      <c r="F79" s="12">
        <v>181.595</v>
      </c>
      <c r="G79" s="12" t="s">
        <v>115</v>
      </c>
    </row>
    <row r="80" spans="1:7">
      <c r="A80" s="5" t="s">
        <v>94</v>
      </c>
      <c r="B80" s="5" t="s">
        <v>97</v>
      </c>
      <c r="C80" s="9" t="s">
        <v>106</v>
      </c>
      <c r="D80" s="8">
        <v>41197</v>
      </c>
      <c r="E80" s="9" t="s">
        <v>33</v>
      </c>
      <c r="F80" s="12">
        <v>186.14099999999999</v>
      </c>
      <c r="G80" s="12" t="s">
        <v>116</v>
      </c>
    </row>
    <row r="81" spans="1:9">
      <c r="A81" s="5" t="s">
        <v>94</v>
      </c>
      <c r="B81" s="5" t="s">
        <v>98</v>
      </c>
      <c r="C81" s="9" t="s">
        <v>106</v>
      </c>
      <c r="D81" s="8">
        <v>41197</v>
      </c>
      <c r="E81" s="9" t="s">
        <v>33</v>
      </c>
      <c r="F81" s="12">
        <v>188.79400000000001</v>
      </c>
      <c r="G81" s="12" t="s">
        <v>117</v>
      </c>
    </row>
    <row r="82" spans="1:9">
      <c r="A82" s="5" t="s">
        <v>94</v>
      </c>
      <c r="B82" s="5" t="s">
        <v>99</v>
      </c>
      <c r="C82" s="9" t="s">
        <v>106</v>
      </c>
      <c r="D82" s="8">
        <v>41197</v>
      </c>
      <c r="E82" s="9" t="s">
        <v>33</v>
      </c>
      <c r="F82" s="12">
        <v>184.99299999999999</v>
      </c>
      <c r="G82" s="12" t="s">
        <v>118</v>
      </c>
    </row>
    <row r="83" spans="1:9">
      <c r="A83" s="5" t="s">
        <v>94</v>
      </c>
      <c r="B83" s="5" t="s">
        <v>100</v>
      </c>
      <c r="C83" s="9" t="s">
        <v>106</v>
      </c>
      <c r="D83" s="8">
        <v>41197</v>
      </c>
      <c r="E83" s="9" t="s">
        <v>33</v>
      </c>
      <c r="F83" s="12">
        <v>192.708</v>
      </c>
      <c r="G83" s="12" t="s">
        <v>119</v>
      </c>
    </row>
    <row r="84" spans="1:9">
      <c r="A84" s="5" t="s">
        <v>94</v>
      </c>
      <c r="B84" s="5" t="s">
        <v>101</v>
      </c>
      <c r="C84" s="9" t="s">
        <v>106</v>
      </c>
      <c r="D84" s="8">
        <v>41197</v>
      </c>
      <c r="E84" s="9" t="s">
        <v>33</v>
      </c>
      <c r="F84" s="12">
        <v>187.815</v>
      </c>
      <c r="G84" s="12" t="s">
        <v>116</v>
      </c>
    </row>
    <row r="85" spans="1:9">
      <c r="A85" s="5" t="s">
        <v>94</v>
      </c>
      <c r="B85" s="5" t="s">
        <v>105</v>
      </c>
      <c r="C85" s="9" t="s">
        <v>106</v>
      </c>
      <c r="D85" s="8">
        <v>41197</v>
      </c>
      <c r="E85" s="9" t="s">
        <v>33</v>
      </c>
      <c r="F85" s="5">
        <v>1528</v>
      </c>
      <c r="G85" s="5" t="s">
        <v>123</v>
      </c>
    </row>
    <row r="86" spans="1:9" s="5" customFormat="1" ht="12">
      <c r="A86" s="5" t="s">
        <v>94</v>
      </c>
      <c r="B86" s="5" t="s">
        <v>95</v>
      </c>
      <c r="C86" s="9" t="s">
        <v>80</v>
      </c>
      <c r="D86" s="16">
        <v>41198</v>
      </c>
      <c r="E86" s="5" t="s">
        <v>120</v>
      </c>
      <c r="F86" s="5">
        <v>551.29999999999995</v>
      </c>
      <c r="H86" s="5">
        <v>551.29999999999995</v>
      </c>
    </row>
    <row r="87" spans="1:9" s="5" customFormat="1" ht="12">
      <c r="A87" s="5" t="s">
        <v>94</v>
      </c>
      <c r="B87" s="5" t="s">
        <v>96</v>
      </c>
      <c r="C87" s="9" t="s">
        <v>80</v>
      </c>
      <c r="D87" s="16">
        <v>41198</v>
      </c>
      <c r="E87" s="5" t="s">
        <v>120</v>
      </c>
      <c r="F87" s="5">
        <v>118.4</v>
      </c>
    </row>
    <row r="88" spans="1:9" s="5" customFormat="1" ht="12">
      <c r="A88" s="5" t="s">
        <v>94</v>
      </c>
      <c r="B88" s="5" t="s">
        <v>97</v>
      </c>
      <c r="C88" s="9" t="s">
        <v>80</v>
      </c>
      <c r="D88" s="16">
        <v>41198</v>
      </c>
      <c r="E88" s="5" t="s">
        <v>120</v>
      </c>
      <c r="F88" s="5">
        <v>53.6</v>
      </c>
    </row>
    <row r="89" spans="1:9" s="5" customFormat="1" ht="12">
      <c r="A89" s="5" t="s">
        <v>94</v>
      </c>
      <c r="B89" s="5" t="s">
        <v>98</v>
      </c>
      <c r="C89" s="9" t="s">
        <v>80</v>
      </c>
      <c r="D89" s="16">
        <v>41198</v>
      </c>
      <c r="E89" s="5" t="s">
        <v>120</v>
      </c>
      <c r="F89" s="5">
        <v>45.8</v>
      </c>
      <c r="H89" s="5">
        <v>45.8</v>
      </c>
    </row>
    <row r="90" spans="1:9" s="5" customFormat="1" ht="12">
      <c r="A90" s="5" t="s">
        <v>94</v>
      </c>
      <c r="B90" s="5" t="s">
        <v>99</v>
      </c>
      <c r="C90" s="9" t="s">
        <v>80</v>
      </c>
      <c r="D90" s="16">
        <v>41198</v>
      </c>
      <c r="E90" s="5" t="s">
        <v>120</v>
      </c>
      <c r="F90" s="5">
        <v>35.5</v>
      </c>
    </row>
    <row r="91" spans="1:9" s="5" customFormat="1" ht="12">
      <c r="A91" s="5" t="s">
        <v>94</v>
      </c>
      <c r="B91" s="5" t="s">
        <v>100</v>
      </c>
      <c r="C91" s="9" t="s">
        <v>80</v>
      </c>
      <c r="D91" s="16">
        <v>41198</v>
      </c>
      <c r="E91" s="5" t="s">
        <v>120</v>
      </c>
      <c r="F91" s="5">
        <v>41.7</v>
      </c>
    </row>
    <row r="92" spans="1:9" s="5" customFormat="1" ht="12">
      <c r="A92" s="5" t="s">
        <v>94</v>
      </c>
      <c r="B92" s="5" t="s">
        <v>101</v>
      </c>
      <c r="C92" s="9" t="s">
        <v>80</v>
      </c>
      <c r="D92" s="16">
        <v>41198</v>
      </c>
      <c r="E92" s="5" t="s">
        <v>120</v>
      </c>
      <c r="F92" s="5">
        <v>31.2</v>
      </c>
    </row>
    <row r="93" spans="1:9" s="5" customFormat="1" ht="12">
      <c r="A93" s="5" t="s">
        <v>94</v>
      </c>
      <c r="B93" s="5" t="s">
        <v>105</v>
      </c>
      <c r="C93" s="9" t="s">
        <v>80</v>
      </c>
      <c r="D93" s="16">
        <v>41198</v>
      </c>
      <c r="E93" s="5" t="s">
        <v>120</v>
      </c>
      <c r="F93" s="5">
        <v>2374</v>
      </c>
    </row>
    <row r="94" spans="1:9" s="5" customFormat="1" ht="12">
      <c r="A94" s="5" t="s">
        <v>94</v>
      </c>
      <c r="B94" s="5" t="s">
        <v>95</v>
      </c>
      <c r="C94" s="9" t="s">
        <v>106</v>
      </c>
      <c r="D94" s="16">
        <v>41198</v>
      </c>
      <c r="E94" s="5" t="s">
        <v>120</v>
      </c>
      <c r="F94" s="5">
        <v>46.9</v>
      </c>
      <c r="G94" s="5" t="s">
        <v>130</v>
      </c>
      <c r="H94" s="5">
        <v>46.9</v>
      </c>
      <c r="I94" s="17">
        <v>10.754799999999999</v>
      </c>
    </row>
    <row r="95" spans="1:9" s="5" customFormat="1" ht="12">
      <c r="A95" s="5" t="s">
        <v>94</v>
      </c>
      <c r="B95" s="5" t="s">
        <v>96</v>
      </c>
      <c r="C95" s="9" t="s">
        <v>106</v>
      </c>
      <c r="D95" s="16">
        <v>41198</v>
      </c>
      <c r="E95" s="5" t="s">
        <v>120</v>
      </c>
      <c r="F95" s="5">
        <v>29.2</v>
      </c>
      <c r="G95" s="5" t="s">
        <v>124</v>
      </c>
      <c r="H95" s="17">
        <v>3.0548000000000002</v>
      </c>
    </row>
    <row r="96" spans="1:9" s="5" customFormat="1" ht="12">
      <c r="A96" s="5" t="s">
        <v>94</v>
      </c>
      <c r="B96" s="5" t="s">
        <v>97</v>
      </c>
      <c r="C96" s="9" t="s">
        <v>106</v>
      </c>
      <c r="D96" s="16">
        <v>41198</v>
      </c>
      <c r="E96" s="5" t="s">
        <v>120</v>
      </c>
      <c r="F96" s="5">
        <v>26.1</v>
      </c>
      <c r="G96" s="5" t="s">
        <v>125</v>
      </c>
      <c r="H96" s="17">
        <v>1.0536000000000001</v>
      </c>
    </row>
    <row r="97" spans="1:9" s="5" customFormat="1" ht="12">
      <c r="A97" s="5" t="s">
        <v>94</v>
      </c>
      <c r="B97" s="5" t="s">
        <v>98</v>
      </c>
      <c r="C97" s="9" t="s">
        <v>106</v>
      </c>
      <c r="D97" s="16">
        <v>41198</v>
      </c>
      <c r="E97" s="5" t="s">
        <v>120</v>
      </c>
      <c r="F97" s="5">
        <v>27.5</v>
      </c>
      <c r="G97" s="5" t="s">
        <v>126</v>
      </c>
      <c r="H97" s="5">
        <v>27.5</v>
      </c>
      <c r="I97" s="17">
        <v>0.66549999999999998</v>
      </c>
    </row>
    <row r="98" spans="1:9" s="5" customFormat="1" ht="12">
      <c r="A98" s="5" t="s">
        <v>94</v>
      </c>
      <c r="B98" s="5" t="s">
        <v>99</v>
      </c>
      <c r="C98" s="9" t="s">
        <v>106</v>
      </c>
      <c r="D98" s="16">
        <v>41198</v>
      </c>
      <c r="E98" s="5" t="s">
        <v>120</v>
      </c>
      <c r="F98" s="5">
        <v>27.5</v>
      </c>
      <c r="G98" s="5" t="s">
        <v>127</v>
      </c>
      <c r="H98" s="17">
        <v>0.29089999999999999</v>
      </c>
    </row>
    <row r="99" spans="1:9" s="5" customFormat="1" ht="12">
      <c r="A99" s="5" t="s">
        <v>94</v>
      </c>
      <c r="B99" s="5" t="s">
        <v>100</v>
      </c>
      <c r="C99" s="9" t="s">
        <v>106</v>
      </c>
      <c r="D99" s="16">
        <v>41198</v>
      </c>
      <c r="E99" s="5" t="s">
        <v>120</v>
      </c>
      <c r="F99" s="5">
        <v>26.7</v>
      </c>
      <c r="G99" s="5" t="s">
        <v>128</v>
      </c>
      <c r="H99" s="17">
        <v>0.56179999999999997</v>
      </c>
    </row>
    <row r="100" spans="1:9" s="5" customFormat="1" ht="12">
      <c r="A100" s="5" t="s">
        <v>94</v>
      </c>
      <c r="B100" s="5" t="s">
        <v>101</v>
      </c>
      <c r="C100" s="9" t="s">
        <v>106</v>
      </c>
      <c r="D100" s="16">
        <v>41198</v>
      </c>
      <c r="E100" s="5" t="s">
        <v>120</v>
      </c>
      <c r="F100" s="5">
        <v>27.1</v>
      </c>
      <c r="G100" s="5" t="s">
        <v>129</v>
      </c>
      <c r="H100" s="17">
        <v>0.15129999999999999</v>
      </c>
    </row>
    <row r="101" spans="1:9" s="5" customFormat="1" ht="12">
      <c r="A101" s="5" t="s">
        <v>94</v>
      </c>
      <c r="B101" s="5" t="s">
        <v>105</v>
      </c>
      <c r="C101" s="9" t="s">
        <v>106</v>
      </c>
      <c r="D101" s="16">
        <v>41198</v>
      </c>
      <c r="E101" s="5" t="s">
        <v>120</v>
      </c>
      <c r="F101" s="5">
        <v>324</v>
      </c>
      <c r="G101" s="5" t="s">
        <v>131</v>
      </c>
      <c r="H101" s="17">
        <v>6.3381999999999996</v>
      </c>
    </row>
    <row r="102" spans="1:9">
      <c r="A102" s="5" t="s">
        <v>94</v>
      </c>
      <c r="B102" s="5" t="s">
        <v>95</v>
      </c>
      <c r="C102" s="9" t="s">
        <v>106</v>
      </c>
      <c r="D102" s="8">
        <v>41198</v>
      </c>
      <c r="E102" s="9" t="s">
        <v>31</v>
      </c>
      <c r="F102" s="12">
        <v>279.709</v>
      </c>
      <c r="G102" s="6" t="s">
        <v>125</v>
      </c>
    </row>
    <row r="103" spans="1:9">
      <c r="A103" s="5" t="s">
        <v>94</v>
      </c>
      <c r="B103" s="5" t="s">
        <v>96</v>
      </c>
      <c r="C103" s="9" t="s">
        <v>106</v>
      </c>
      <c r="D103" s="8">
        <v>41198</v>
      </c>
      <c r="E103" s="9" t="s">
        <v>31</v>
      </c>
      <c r="F103" s="12">
        <v>290.83300000000003</v>
      </c>
      <c r="G103" s="6" t="s">
        <v>132</v>
      </c>
    </row>
    <row r="104" spans="1:9">
      <c r="A104" s="5" t="s">
        <v>94</v>
      </c>
      <c r="B104" s="5" t="s">
        <v>97</v>
      </c>
      <c r="C104" s="9" t="s">
        <v>106</v>
      </c>
      <c r="D104" s="8">
        <v>41198</v>
      </c>
      <c r="E104" s="9" t="s">
        <v>31</v>
      </c>
      <c r="F104" s="12">
        <v>289.101</v>
      </c>
    </row>
    <row r="105" spans="1:9">
      <c r="A105" s="5" t="s">
        <v>94</v>
      </c>
      <c r="B105" s="5" t="s">
        <v>98</v>
      </c>
      <c r="C105" s="9" t="s">
        <v>106</v>
      </c>
      <c r="D105" s="8">
        <v>41198</v>
      </c>
      <c r="E105" s="9" t="s">
        <v>31</v>
      </c>
      <c r="F105" s="12">
        <v>253.96</v>
      </c>
    </row>
    <row r="106" spans="1:9">
      <c r="A106" s="5" t="s">
        <v>94</v>
      </c>
      <c r="B106" s="5" t="s">
        <v>99</v>
      </c>
      <c r="C106" s="9" t="s">
        <v>106</v>
      </c>
      <c r="D106" s="8">
        <v>41198</v>
      </c>
      <c r="E106" s="9" t="s">
        <v>31</v>
      </c>
      <c r="F106" s="12">
        <v>244.69499999999999</v>
      </c>
    </row>
    <row r="107" spans="1:9">
      <c r="A107" s="5" t="s">
        <v>94</v>
      </c>
      <c r="B107" s="5" t="s">
        <v>100</v>
      </c>
      <c r="C107" s="9" t="s">
        <v>106</v>
      </c>
      <c r="D107" s="8">
        <v>41198</v>
      </c>
      <c r="E107" s="9" t="s">
        <v>31</v>
      </c>
      <c r="F107" s="12">
        <v>257.483</v>
      </c>
    </row>
    <row r="108" spans="1:9">
      <c r="A108" s="5" t="s">
        <v>94</v>
      </c>
      <c r="B108" s="5" t="s">
        <v>101</v>
      </c>
      <c r="C108" s="9" t="s">
        <v>106</v>
      </c>
      <c r="D108" s="8">
        <v>41198</v>
      </c>
      <c r="E108" s="9" t="s">
        <v>31</v>
      </c>
      <c r="F108" s="12">
        <v>261.06900000000002</v>
      </c>
    </row>
    <row r="109" spans="1:9">
      <c r="A109" s="5" t="s">
        <v>94</v>
      </c>
      <c r="B109" s="5" t="s">
        <v>105</v>
      </c>
      <c r="C109" s="9" t="s">
        <v>106</v>
      </c>
      <c r="D109" s="8">
        <v>41198</v>
      </c>
      <c r="E109" s="9" t="s">
        <v>31</v>
      </c>
      <c r="F109" s="15">
        <v>2270.8180000000002</v>
      </c>
      <c r="G109" s="6" t="s">
        <v>133</v>
      </c>
    </row>
    <row r="110" spans="1:9">
      <c r="A110" s="5" t="s">
        <v>94</v>
      </c>
      <c r="B110" s="5" t="s">
        <v>95</v>
      </c>
      <c r="C110" s="9" t="s">
        <v>103</v>
      </c>
      <c r="D110" s="8">
        <v>41198</v>
      </c>
      <c r="E110" s="9" t="s">
        <v>134</v>
      </c>
      <c r="F110" s="12">
        <v>351.02199999999999</v>
      </c>
    </row>
    <row r="111" spans="1:9">
      <c r="A111" s="5" t="s">
        <v>94</v>
      </c>
      <c r="B111" s="5" t="s">
        <v>96</v>
      </c>
      <c r="C111" s="9" t="s">
        <v>103</v>
      </c>
      <c r="D111" s="8">
        <v>41198</v>
      </c>
      <c r="E111" s="9" t="s">
        <v>134</v>
      </c>
      <c r="F111" s="12">
        <v>81.67</v>
      </c>
    </row>
    <row r="112" spans="1:9">
      <c r="A112" s="5" t="s">
        <v>94</v>
      </c>
      <c r="B112" s="5" t="s">
        <v>97</v>
      </c>
      <c r="C112" s="9" t="s">
        <v>103</v>
      </c>
      <c r="D112" s="8">
        <v>41198</v>
      </c>
      <c r="E112" s="9" t="s">
        <v>134</v>
      </c>
      <c r="F112" s="12">
        <v>47</v>
      </c>
    </row>
    <row r="113" spans="1:6">
      <c r="A113" s="5" t="s">
        <v>94</v>
      </c>
      <c r="B113" s="5" t="s">
        <v>98</v>
      </c>
      <c r="C113" s="9" t="s">
        <v>103</v>
      </c>
      <c r="D113" s="8">
        <v>41198</v>
      </c>
      <c r="E113" s="9" t="s">
        <v>134</v>
      </c>
      <c r="F113" s="12">
        <v>44.57</v>
      </c>
    </row>
    <row r="114" spans="1:6">
      <c r="A114" s="5" t="s">
        <v>94</v>
      </c>
      <c r="B114" s="5" t="s">
        <v>99</v>
      </c>
      <c r="C114" s="9" t="s">
        <v>103</v>
      </c>
      <c r="D114" s="8">
        <v>41198</v>
      </c>
      <c r="E114" s="9" t="s">
        <v>134</v>
      </c>
      <c r="F114" s="12">
        <v>44.45</v>
      </c>
    </row>
    <row r="115" spans="1:6">
      <c r="A115" s="5" t="s">
        <v>94</v>
      </c>
      <c r="B115" s="5" t="s">
        <v>100</v>
      </c>
      <c r="C115" s="9" t="s">
        <v>103</v>
      </c>
      <c r="D115" s="8">
        <v>41198</v>
      </c>
      <c r="E115" s="9" t="s">
        <v>134</v>
      </c>
      <c r="F115" s="12">
        <v>47.98</v>
      </c>
    </row>
    <row r="116" spans="1:6">
      <c r="A116" s="5" t="s">
        <v>94</v>
      </c>
      <c r="B116" s="5" t="s">
        <v>101</v>
      </c>
      <c r="C116" s="9" t="s">
        <v>103</v>
      </c>
      <c r="D116" s="8">
        <v>41198</v>
      </c>
      <c r="E116" s="9" t="s">
        <v>134</v>
      </c>
      <c r="F116" s="12">
        <v>46.04</v>
      </c>
    </row>
    <row r="117" spans="1:6">
      <c r="A117" s="5" t="s">
        <v>94</v>
      </c>
      <c r="B117" s="5" t="s">
        <v>105</v>
      </c>
      <c r="C117" s="9" t="s">
        <v>103</v>
      </c>
      <c r="D117" s="8">
        <v>41198</v>
      </c>
      <c r="E117" s="9" t="s">
        <v>134</v>
      </c>
      <c r="F117" s="15">
        <v>2054.34</v>
      </c>
    </row>
    <row r="118" spans="1:6">
      <c r="A118" s="5" t="s">
        <v>94</v>
      </c>
      <c r="B118" s="5" t="s">
        <v>95</v>
      </c>
      <c r="C118" s="9" t="s">
        <v>106</v>
      </c>
      <c r="D118" s="8">
        <v>41198</v>
      </c>
      <c r="E118" s="9" t="s">
        <v>33</v>
      </c>
      <c r="F118" s="12">
        <v>210.797</v>
      </c>
    </row>
    <row r="119" spans="1:6">
      <c r="A119" s="5" t="s">
        <v>94</v>
      </c>
      <c r="B119" s="5" t="s">
        <v>96</v>
      </c>
      <c r="C119" s="9" t="s">
        <v>106</v>
      </c>
      <c r="D119" s="8">
        <v>41198</v>
      </c>
      <c r="E119" s="9" t="s">
        <v>33</v>
      </c>
      <c r="F119" s="12">
        <v>175.977</v>
      </c>
    </row>
    <row r="120" spans="1:6">
      <c r="A120" s="5" t="s">
        <v>94</v>
      </c>
      <c r="B120" s="5" t="s">
        <v>97</v>
      </c>
      <c r="C120" s="9" t="s">
        <v>106</v>
      </c>
      <c r="D120" s="8">
        <v>41198</v>
      </c>
      <c r="E120" s="9" t="s">
        <v>33</v>
      </c>
      <c r="F120" s="12">
        <v>195.15</v>
      </c>
    </row>
    <row r="121" spans="1:6">
      <c r="A121" s="5" t="s">
        <v>94</v>
      </c>
      <c r="B121" s="5" t="s">
        <v>98</v>
      </c>
      <c r="C121" s="9" t="s">
        <v>106</v>
      </c>
      <c r="D121" s="8">
        <v>41198</v>
      </c>
      <c r="E121" s="9" t="s">
        <v>33</v>
      </c>
      <c r="F121" s="12">
        <v>179.27099999999999</v>
      </c>
    </row>
    <row r="122" spans="1:6">
      <c r="A122" s="5" t="s">
        <v>94</v>
      </c>
      <c r="B122" s="5" t="s">
        <v>99</v>
      </c>
      <c r="C122" s="9" t="s">
        <v>106</v>
      </c>
      <c r="D122" s="8">
        <v>41198</v>
      </c>
      <c r="E122" s="9" t="s">
        <v>33</v>
      </c>
      <c r="F122" s="12">
        <v>189.17400000000001</v>
      </c>
    </row>
    <row r="123" spans="1:6">
      <c r="A123" s="5" t="s">
        <v>94</v>
      </c>
      <c r="B123" s="5" t="s">
        <v>100</v>
      </c>
      <c r="C123" s="9" t="s">
        <v>106</v>
      </c>
      <c r="D123" s="8">
        <v>41198</v>
      </c>
      <c r="E123" s="9" t="s">
        <v>33</v>
      </c>
      <c r="F123" s="12">
        <v>180.17</v>
      </c>
    </row>
    <row r="124" spans="1:6">
      <c r="A124" s="5" t="s">
        <v>94</v>
      </c>
      <c r="B124" s="5" t="s">
        <v>101</v>
      </c>
      <c r="C124" s="9" t="s">
        <v>106</v>
      </c>
      <c r="D124" s="8">
        <v>41198</v>
      </c>
      <c r="E124" s="9" t="s">
        <v>33</v>
      </c>
      <c r="F124" s="12">
        <v>176.61</v>
      </c>
    </row>
    <row r="125" spans="1:6">
      <c r="A125" s="5" t="s">
        <v>94</v>
      </c>
      <c r="B125" s="5" t="s">
        <v>105</v>
      </c>
      <c r="C125" s="9" t="s">
        <v>106</v>
      </c>
      <c r="D125" s="8">
        <v>41198</v>
      </c>
      <c r="E125" s="9" t="s">
        <v>33</v>
      </c>
      <c r="F125" s="12">
        <v>2921.7919999999999</v>
      </c>
    </row>
    <row r="126" spans="1:6">
      <c r="A126" s="5" t="s">
        <v>94</v>
      </c>
      <c r="B126" s="5" t="s">
        <v>95</v>
      </c>
      <c r="C126" s="9" t="s">
        <v>106</v>
      </c>
      <c r="D126" s="8">
        <v>41198</v>
      </c>
      <c r="E126" s="9" t="s">
        <v>134</v>
      </c>
      <c r="F126" s="12">
        <v>69.5</v>
      </c>
    </row>
    <row r="127" spans="1:6">
      <c r="A127" s="5" t="s">
        <v>94</v>
      </c>
      <c r="B127" s="5" t="s">
        <v>96</v>
      </c>
      <c r="C127" s="9" t="s">
        <v>106</v>
      </c>
      <c r="D127" s="8">
        <v>41198</v>
      </c>
      <c r="E127" s="9" t="s">
        <v>134</v>
      </c>
      <c r="F127" s="12">
        <v>52.7</v>
      </c>
    </row>
    <row r="128" spans="1:6">
      <c r="A128" s="5" t="s">
        <v>94</v>
      </c>
      <c r="B128" s="5" t="s">
        <v>97</v>
      </c>
      <c r="C128" s="9" t="s">
        <v>106</v>
      </c>
      <c r="D128" s="8">
        <v>41198</v>
      </c>
      <c r="E128" s="9" t="s">
        <v>134</v>
      </c>
      <c r="F128" s="12">
        <v>40.6</v>
      </c>
    </row>
    <row r="129" spans="1:7">
      <c r="A129" s="5" t="s">
        <v>94</v>
      </c>
      <c r="B129" s="5" t="s">
        <v>98</v>
      </c>
      <c r="C129" s="9" t="s">
        <v>106</v>
      </c>
      <c r="D129" s="8">
        <v>41198</v>
      </c>
      <c r="E129" s="9" t="s">
        <v>134</v>
      </c>
      <c r="F129" s="12">
        <v>38.5</v>
      </c>
    </row>
    <row r="130" spans="1:7">
      <c r="A130" s="5" t="s">
        <v>94</v>
      </c>
      <c r="B130" s="5" t="s">
        <v>99</v>
      </c>
      <c r="C130" s="9" t="s">
        <v>106</v>
      </c>
      <c r="D130" s="8">
        <v>41198</v>
      </c>
      <c r="E130" s="9" t="s">
        <v>134</v>
      </c>
      <c r="F130" s="12">
        <v>40.78</v>
      </c>
    </row>
    <row r="131" spans="1:7">
      <c r="A131" s="5" t="s">
        <v>94</v>
      </c>
      <c r="B131" s="5" t="s">
        <v>100</v>
      </c>
      <c r="C131" s="9" t="s">
        <v>106</v>
      </c>
      <c r="D131" s="8">
        <v>41198</v>
      </c>
      <c r="E131" s="9" t="s">
        <v>134</v>
      </c>
      <c r="F131" s="12">
        <v>40.44</v>
      </c>
    </row>
    <row r="132" spans="1:7">
      <c r="A132" s="5" t="s">
        <v>94</v>
      </c>
      <c r="B132" s="5" t="s">
        <v>101</v>
      </c>
      <c r="C132" s="9" t="s">
        <v>106</v>
      </c>
      <c r="D132" s="8">
        <v>41198</v>
      </c>
      <c r="E132" s="9" t="s">
        <v>134</v>
      </c>
      <c r="F132" s="12">
        <v>40.186999999999998</v>
      </c>
    </row>
    <row r="133" spans="1:7">
      <c r="A133" s="5" t="s">
        <v>94</v>
      </c>
      <c r="B133" s="5" t="s">
        <v>105</v>
      </c>
      <c r="C133" s="9" t="s">
        <v>106</v>
      </c>
      <c r="D133" s="8">
        <v>41198</v>
      </c>
      <c r="E133" s="9" t="s">
        <v>134</v>
      </c>
      <c r="F133" s="15">
        <v>642.55999999999995</v>
      </c>
    </row>
    <row r="134" spans="1:7">
      <c r="A134" s="5" t="s">
        <v>94</v>
      </c>
      <c r="B134" s="5" t="s">
        <v>95</v>
      </c>
      <c r="C134" s="9" t="s">
        <v>106</v>
      </c>
      <c r="D134" s="8">
        <v>41201</v>
      </c>
      <c r="E134" s="5" t="s">
        <v>120</v>
      </c>
      <c r="F134" s="5">
        <v>39.799999999999997</v>
      </c>
      <c r="G134" s="5"/>
    </row>
    <row r="135" spans="1:7">
      <c r="A135" s="5" t="s">
        <v>94</v>
      </c>
      <c r="B135" s="5" t="s">
        <v>96</v>
      </c>
      <c r="C135" s="9" t="s">
        <v>106</v>
      </c>
      <c r="D135" s="8">
        <v>41201</v>
      </c>
      <c r="E135" s="5" t="s">
        <v>120</v>
      </c>
      <c r="F135" s="5">
        <v>20.9</v>
      </c>
      <c r="G135" s="5"/>
    </row>
    <row r="136" spans="1:7">
      <c r="A136" s="5" t="s">
        <v>94</v>
      </c>
      <c r="B136" s="5" t="s">
        <v>97</v>
      </c>
      <c r="C136" s="9" t="s">
        <v>106</v>
      </c>
      <c r="D136" s="8">
        <v>41201</v>
      </c>
      <c r="E136" s="5" t="s">
        <v>120</v>
      </c>
      <c r="F136" s="12">
        <v>14</v>
      </c>
      <c r="G136" s="5"/>
    </row>
    <row r="137" spans="1:7">
      <c r="A137" s="5" t="s">
        <v>94</v>
      </c>
      <c r="B137" s="5" t="s">
        <v>98</v>
      </c>
      <c r="C137" s="9" t="s">
        <v>106</v>
      </c>
      <c r="D137" s="8">
        <v>41201</v>
      </c>
      <c r="E137" s="5" t="s">
        <v>120</v>
      </c>
      <c r="F137" s="5">
        <v>13.8</v>
      </c>
      <c r="G137" s="5"/>
    </row>
    <row r="138" spans="1:7">
      <c r="A138" s="5" t="s">
        <v>94</v>
      </c>
      <c r="B138" s="5" t="s">
        <v>99</v>
      </c>
      <c r="C138" s="9" t="s">
        <v>106</v>
      </c>
      <c r="D138" s="8">
        <v>41201</v>
      </c>
      <c r="E138" s="5" t="s">
        <v>120</v>
      </c>
      <c r="F138" s="5">
        <v>14.1</v>
      </c>
      <c r="G138" s="5"/>
    </row>
    <row r="139" spans="1:7">
      <c r="A139" s="5" t="s">
        <v>94</v>
      </c>
      <c r="B139" s="5" t="s">
        <v>100</v>
      </c>
      <c r="C139" s="9" t="s">
        <v>106</v>
      </c>
      <c r="D139" s="8">
        <v>41201</v>
      </c>
      <c r="E139" s="5" t="s">
        <v>120</v>
      </c>
      <c r="F139" s="5">
        <v>13.3</v>
      </c>
      <c r="G139" s="5"/>
    </row>
    <row r="140" spans="1:7">
      <c r="A140" s="5" t="s">
        <v>94</v>
      </c>
      <c r="B140" s="5" t="s">
        <v>101</v>
      </c>
      <c r="C140" s="9" t="s">
        <v>106</v>
      </c>
      <c r="D140" s="8">
        <v>41201</v>
      </c>
      <c r="E140" s="5" t="s">
        <v>120</v>
      </c>
      <c r="F140" s="5">
        <v>15.1</v>
      </c>
      <c r="G140" s="5"/>
    </row>
    <row r="141" spans="1:7">
      <c r="A141" s="5" t="s">
        <v>94</v>
      </c>
      <c r="B141" s="5" t="s">
        <v>105</v>
      </c>
      <c r="C141" s="9" t="s">
        <v>106</v>
      </c>
      <c r="D141" s="8">
        <v>41201</v>
      </c>
      <c r="E141" s="5" t="s">
        <v>120</v>
      </c>
      <c r="F141" s="5">
        <v>241.5</v>
      </c>
      <c r="G141" s="5"/>
    </row>
    <row r="142" spans="1:7">
      <c r="A142" s="5" t="s">
        <v>94</v>
      </c>
      <c r="B142" s="5" t="s">
        <v>95</v>
      </c>
      <c r="C142" s="9" t="s">
        <v>106</v>
      </c>
      <c r="D142" s="8">
        <v>41201</v>
      </c>
      <c r="E142" s="9" t="s">
        <v>134</v>
      </c>
      <c r="F142" s="5">
        <v>43.2</v>
      </c>
    </row>
    <row r="143" spans="1:7">
      <c r="A143" s="5" t="s">
        <v>94</v>
      </c>
      <c r="B143" s="5" t="s">
        <v>96</v>
      </c>
      <c r="C143" s="9" t="s">
        <v>106</v>
      </c>
      <c r="D143" s="8">
        <v>41201</v>
      </c>
      <c r="E143" s="9" t="s">
        <v>134</v>
      </c>
      <c r="F143" s="5">
        <v>22.2</v>
      </c>
    </row>
    <row r="144" spans="1:7">
      <c r="A144" s="5" t="s">
        <v>94</v>
      </c>
      <c r="B144" s="5" t="s">
        <v>97</v>
      </c>
      <c r="C144" s="9" t="s">
        <v>106</v>
      </c>
      <c r="D144" s="8">
        <v>41201</v>
      </c>
      <c r="E144" s="9" t="s">
        <v>134</v>
      </c>
      <c r="F144" s="5">
        <v>17.5</v>
      </c>
    </row>
    <row r="145" spans="1:7">
      <c r="A145" s="5" t="s">
        <v>94</v>
      </c>
      <c r="B145" s="5" t="s">
        <v>98</v>
      </c>
      <c r="C145" s="9" t="s">
        <v>106</v>
      </c>
      <c r="D145" s="8">
        <v>41201</v>
      </c>
      <c r="E145" s="9" t="s">
        <v>134</v>
      </c>
      <c r="F145" s="5">
        <v>17.399999999999999</v>
      </c>
    </row>
    <row r="146" spans="1:7">
      <c r="A146" s="5" t="s">
        <v>94</v>
      </c>
      <c r="B146" s="5" t="s">
        <v>99</v>
      </c>
      <c r="C146" s="9" t="s">
        <v>106</v>
      </c>
      <c r="D146" s="8">
        <v>41201</v>
      </c>
      <c r="E146" s="9" t="s">
        <v>134</v>
      </c>
      <c r="F146" s="5">
        <v>17.600000000000001</v>
      </c>
    </row>
    <row r="147" spans="1:7">
      <c r="A147" s="5" t="s">
        <v>94</v>
      </c>
      <c r="B147" s="5" t="s">
        <v>100</v>
      </c>
      <c r="C147" s="9" t="s">
        <v>106</v>
      </c>
      <c r="D147" s="8">
        <v>41201</v>
      </c>
      <c r="E147" s="9" t="s">
        <v>134</v>
      </c>
      <c r="F147" s="5">
        <v>17.3</v>
      </c>
    </row>
    <row r="148" spans="1:7">
      <c r="A148" s="5" t="s">
        <v>94</v>
      </c>
      <c r="B148" s="5" t="s">
        <v>101</v>
      </c>
      <c r="C148" s="9" t="s">
        <v>106</v>
      </c>
      <c r="D148" s="8">
        <v>41201</v>
      </c>
      <c r="E148" s="9" t="s">
        <v>134</v>
      </c>
      <c r="F148" s="5">
        <v>17.2</v>
      </c>
    </row>
    <row r="149" spans="1:7">
      <c r="A149" s="5" t="s">
        <v>94</v>
      </c>
      <c r="B149" s="5" t="s">
        <v>105</v>
      </c>
      <c r="C149" s="9" t="s">
        <v>106</v>
      </c>
      <c r="D149" s="8">
        <v>41201</v>
      </c>
      <c r="E149" s="9" t="s">
        <v>134</v>
      </c>
      <c r="F149" s="5">
        <v>389.1</v>
      </c>
    </row>
    <row r="150" spans="1:7">
      <c r="A150" s="5" t="s">
        <v>94</v>
      </c>
      <c r="B150" s="5" t="s">
        <v>95</v>
      </c>
      <c r="C150" s="9" t="s">
        <v>106</v>
      </c>
      <c r="D150" s="8">
        <v>41206</v>
      </c>
      <c r="E150" s="9" t="s">
        <v>31</v>
      </c>
      <c r="F150" s="12">
        <v>48.985999999999997</v>
      </c>
      <c r="G150" s="12" t="s">
        <v>135</v>
      </c>
    </row>
    <row r="151" spans="1:7">
      <c r="A151" s="5" t="s">
        <v>94</v>
      </c>
      <c r="B151" s="5" t="s">
        <v>96</v>
      </c>
      <c r="C151" s="9" t="s">
        <v>106</v>
      </c>
      <c r="D151" s="8">
        <v>41206</v>
      </c>
      <c r="E151" s="9" t="s">
        <v>31</v>
      </c>
      <c r="F151" s="12">
        <v>30.78</v>
      </c>
      <c r="G151" s="12" t="s">
        <v>136</v>
      </c>
    </row>
    <row r="152" spans="1:7">
      <c r="A152" s="5" t="s">
        <v>94</v>
      </c>
      <c r="B152" s="5" t="s">
        <v>97</v>
      </c>
      <c r="C152" s="9" t="s">
        <v>106</v>
      </c>
      <c r="D152" s="8">
        <v>41206</v>
      </c>
      <c r="E152" s="9" t="s">
        <v>31</v>
      </c>
      <c r="F152" s="12">
        <v>25.273</v>
      </c>
      <c r="G152" s="12" t="s">
        <v>137</v>
      </c>
    </row>
    <row r="153" spans="1:7">
      <c r="A153" s="5" t="s">
        <v>94</v>
      </c>
      <c r="B153" s="5" t="s">
        <v>98</v>
      </c>
      <c r="C153" s="9" t="s">
        <v>106</v>
      </c>
      <c r="D153" s="8">
        <v>41206</v>
      </c>
      <c r="E153" s="9" t="s">
        <v>31</v>
      </c>
      <c r="F153" s="12">
        <v>24.32</v>
      </c>
      <c r="G153" s="12" t="s">
        <v>136</v>
      </c>
    </row>
    <row r="154" spans="1:7">
      <c r="A154" s="5" t="s">
        <v>94</v>
      </c>
      <c r="B154" s="5" t="s">
        <v>99</v>
      </c>
      <c r="C154" s="9" t="s">
        <v>106</v>
      </c>
      <c r="D154" s="8">
        <v>41206</v>
      </c>
      <c r="E154" s="9" t="s">
        <v>31</v>
      </c>
      <c r="F154" s="12">
        <v>24.957999999999998</v>
      </c>
      <c r="G154" s="12" t="s">
        <v>142</v>
      </c>
    </row>
    <row r="155" spans="1:7">
      <c r="A155" s="5" t="s">
        <v>94</v>
      </c>
      <c r="B155" s="5" t="s">
        <v>100</v>
      </c>
      <c r="C155" s="9" t="s">
        <v>106</v>
      </c>
      <c r="D155" s="8">
        <v>41206</v>
      </c>
      <c r="E155" s="9" t="s">
        <v>31</v>
      </c>
      <c r="F155" s="12">
        <v>25.457999999999998</v>
      </c>
      <c r="G155" s="12" t="s">
        <v>136</v>
      </c>
    </row>
    <row r="156" spans="1:7">
      <c r="A156" s="5" t="s">
        <v>94</v>
      </c>
      <c r="B156" s="5" t="s">
        <v>101</v>
      </c>
      <c r="C156" s="9" t="s">
        <v>106</v>
      </c>
      <c r="D156" s="8">
        <v>41206</v>
      </c>
      <c r="E156" s="9" t="s">
        <v>31</v>
      </c>
      <c r="F156" s="12">
        <v>24.35</v>
      </c>
      <c r="G156" s="12" t="s">
        <v>137</v>
      </c>
    </row>
    <row r="157" spans="1:7">
      <c r="A157" s="5" t="s">
        <v>94</v>
      </c>
      <c r="B157" s="5" t="s">
        <v>105</v>
      </c>
      <c r="C157" s="9" t="s">
        <v>106</v>
      </c>
      <c r="D157" s="8">
        <v>41206</v>
      </c>
      <c r="E157" s="9" t="s">
        <v>31</v>
      </c>
      <c r="F157" s="12">
        <v>415.47800000000001</v>
      </c>
      <c r="G157" s="15" t="s">
        <v>139</v>
      </c>
    </row>
    <row r="158" spans="1:7">
      <c r="A158" s="5" t="s">
        <v>94</v>
      </c>
      <c r="B158" s="5" t="s">
        <v>95</v>
      </c>
      <c r="C158" s="9" t="s">
        <v>106</v>
      </c>
      <c r="D158" s="8">
        <v>41206</v>
      </c>
      <c r="E158" s="9" t="s">
        <v>33</v>
      </c>
      <c r="F158" s="12">
        <v>45.338000000000001</v>
      </c>
      <c r="G158" s="12" t="s">
        <v>138</v>
      </c>
    </row>
    <row r="159" spans="1:7">
      <c r="A159" s="5" t="s">
        <v>94</v>
      </c>
      <c r="B159" s="5" t="s">
        <v>96</v>
      </c>
      <c r="C159" s="9" t="s">
        <v>106</v>
      </c>
      <c r="D159" s="8">
        <v>41206</v>
      </c>
      <c r="E159" s="9" t="s">
        <v>33</v>
      </c>
      <c r="F159" s="12">
        <v>22.524000000000001</v>
      </c>
      <c r="G159" s="12" t="s">
        <v>136</v>
      </c>
    </row>
    <row r="160" spans="1:7">
      <c r="A160" s="5" t="s">
        <v>94</v>
      </c>
      <c r="B160" s="5" t="s">
        <v>97</v>
      </c>
      <c r="C160" s="9" t="s">
        <v>106</v>
      </c>
      <c r="D160" s="8">
        <v>41206</v>
      </c>
      <c r="E160" s="9" t="s">
        <v>33</v>
      </c>
      <c r="F160" s="12">
        <v>15.340999999999999</v>
      </c>
      <c r="G160" s="12" t="s">
        <v>137</v>
      </c>
    </row>
    <row r="161" spans="1:7">
      <c r="A161" s="5" t="s">
        <v>94</v>
      </c>
      <c r="B161" s="5" t="s">
        <v>98</v>
      </c>
      <c r="C161" s="9" t="s">
        <v>106</v>
      </c>
      <c r="D161" s="8">
        <v>41206</v>
      </c>
      <c r="E161" s="9" t="s">
        <v>33</v>
      </c>
      <c r="F161" s="12">
        <v>14.276999999999999</v>
      </c>
      <c r="G161" s="12" t="s">
        <v>135</v>
      </c>
    </row>
    <row r="162" spans="1:7">
      <c r="A162" s="5" t="s">
        <v>94</v>
      </c>
      <c r="B162" s="5" t="s">
        <v>99</v>
      </c>
      <c r="C162" s="9" t="s">
        <v>106</v>
      </c>
      <c r="D162" s="8">
        <v>41206</v>
      </c>
      <c r="E162" s="9" t="s">
        <v>33</v>
      </c>
      <c r="F162" s="12">
        <v>13.961</v>
      </c>
      <c r="G162" s="12" t="s">
        <v>135</v>
      </c>
    </row>
    <row r="163" spans="1:7">
      <c r="A163" s="5" t="s">
        <v>94</v>
      </c>
      <c r="B163" s="5" t="s">
        <v>100</v>
      </c>
      <c r="C163" s="9" t="s">
        <v>106</v>
      </c>
      <c r="D163" s="8">
        <v>41206</v>
      </c>
      <c r="E163" s="9" t="s">
        <v>33</v>
      </c>
      <c r="F163" s="12">
        <v>13.03</v>
      </c>
      <c r="G163" s="12" t="s">
        <v>140</v>
      </c>
    </row>
    <row r="164" spans="1:7">
      <c r="A164" s="5" t="s">
        <v>94</v>
      </c>
      <c r="B164" s="5" t="s">
        <v>101</v>
      </c>
      <c r="C164" s="9" t="s">
        <v>106</v>
      </c>
      <c r="D164" s="8">
        <v>41206</v>
      </c>
      <c r="E164" s="9" t="s">
        <v>33</v>
      </c>
      <c r="F164" s="12">
        <v>13.164</v>
      </c>
      <c r="G164" s="12" t="s">
        <v>140</v>
      </c>
    </row>
    <row r="165" spans="1:7">
      <c r="A165" s="5" t="s">
        <v>94</v>
      </c>
      <c r="B165" s="5" t="s">
        <v>105</v>
      </c>
      <c r="C165" s="9" t="s">
        <v>106</v>
      </c>
      <c r="D165" s="8">
        <v>41206</v>
      </c>
      <c r="E165" s="9" t="s">
        <v>33</v>
      </c>
      <c r="F165" s="12">
        <v>242.07400000000001</v>
      </c>
      <c r="G165" s="5" t="s">
        <v>141</v>
      </c>
    </row>
    <row r="166" spans="1:7">
      <c r="A166" s="5" t="s">
        <v>160</v>
      </c>
      <c r="B166" s="5" t="s">
        <v>143</v>
      </c>
      <c r="C166" s="9" t="s">
        <v>106</v>
      </c>
      <c r="D166" s="8">
        <v>41214</v>
      </c>
      <c r="E166" s="9" t="s">
        <v>31</v>
      </c>
      <c r="F166" s="5">
        <v>2.7149999999999999</v>
      </c>
    </row>
    <row r="167" spans="1:7">
      <c r="A167" s="5" t="s">
        <v>159</v>
      </c>
      <c r="B167" s="5" t="s">
        <v>144</v>
      </c>
      <c r="C167" s="9" t="s">
        <v>106</v>
      </c>
      <c r="D167" s="8">
        <v>41214</v>
      </c>
      <c r="E167" s="9" t="s">
        <v>31</v>
      </c>
      <c r="F167" s="5">
        <v>59.226999999999997</v>
      </c>
    </row>
    <row r="168" spans="1:7">
      <c r="A168" s="5" t="s">
        <v>161</v>
      </c>
      <c r="B168" s="5" t="s">
        <v>145</v>
      </c>
      <c r="C168" s="9" t="s">
        <v>106</v>
      </c>
      <c r="D168" s="8">
        <v>41215</v>
      </c>
      <c r="E168" s="9" t="s">
        <v>31</v>
      </c>
      <c r="F168" s="5">
        <v>2.512</v>
      </c>
    </row>
    <row r="169" spans="1:7">
      <c r="A169" s="5" t="s">
        <v>163</v>
      </c>
      <c r="B169" s="5" t="s">
        <v>154</v>
      </c>
      <c r="C169" s="9" t="s">
        <v>106</v>
      </c>
      <c r="D169" s="8">
        <v>41214</v>
      </c>
      <c r="E169" s="9" t="s">
        <v>31</v>
      </c>
      <c r="F169" s="5">
        <v>3.1E-2</v>
      </c>
    </row>
    <row r="170" spans="1:7">
      <c r="A170" s="5" t="s">
        <v>164</v>
      </c>
      <c r="B170" s="5" t="s">
        <v>155</v>
      </c>
      <c r="C170" s="9" t="s">
        <v>106</v>
      </c>
      <c r="D170" s="8">
        <v>41214</v>
      </c>
      <c r="E170" s="9" t="s">
        <v>31</v>
      </c>
      <c r="F170" s="5">
        <v>23.978999999999999</v>
      </c>
    </row>
    <row r="171" spans="1:7">
      <c r="A171" s="5" t="s">
        <v>162</v>
      </c>
      <c r="B171" s="5" t="s">
        <v>153</v>
      </c>
      <c r="C171" s="9" t="s">
        <v>106</v>
      </c>
      <c r="D171" s="8">
        <v>41214</v>
      </c>
      <c r="E171" s="9" t="s">
        <v>31</v>
      </c>
      <c r="F171" s="5">
        <v>32.762</v>
      </c>
    </row>
    <row r="172" spans="1:7">
      <c r="A172" s="5" t="s">
        <v>165</v>
      </c>
      <c r="B172" s="5" t="s">
        <v>156</v>
      </c>
      <c r="C172" s="9" t="s">
        <v>106</v>
      </c>
      <c r="D172" s="8">
        <v>41214</v>
      </c>
      <c r="E172" s="9" t="s">
        <v>31</v>
      </c>
      <c r="F172" s="5">
        <v>406.78100000000001</v>
      </c>
    </row>
    <row r="173" spans="1:7">
      <c r="A173" s="5" t="s">
        <v>166</v>
      </c>
      <c r="B173" s="5" t="s">
        <v>157</v>
      </c>
      <c r="C173" s="9" t="s">
        <v>106</v>
      </c>
      <c r="D173" s="8">
        <v>41214</v>
      </c>
      <c r="E173" s="9" t="s">
        <v>31</v>
      </c>
      <c r="F173" s="5">
        <v>467.33800000000002</v>
      </c>
    </row>
    <row r="174" spans="1:7">
      <c r="A174" s="5" t="s">
        <v>167</v>
      </c>
      <c r="B174" s="5" t="s">
        <v>158</v>
      </c>
      <c r="C174" s="9" t="s">
        <v>106</v>
      </c>
      <c r="D174" s="8">
        <v>41214</v>
      </c>
      <c r="E174" s="9" t="s">
        <v>31</v>
      </c>
      <c r="F174" s="18">
        <v>6.1</v>
      </c>
    </row>
    <row r="175" spans="1:7">
      <c r="A175" s="5" t="s">
        <v>160</v>
      </c>
      <c r="B175" s="5" t="s">
        <v>143</v>
      </c>
      <c r="C175" s="9" t="s">
        <v>106</v>
      </c>
      <c r="D175" s="8">
        <v>41214</v>
      </c>
      <c r="E175" s="9" t="s">
        <v>33</v>
      </c>
      <c r="F175" s="5">
        <v>1.9350000000000001</v>
      </c>
    </row>
    <row r="176" spans="1:7">
      <c r="A176" s="5" t="s">
        <v>159</v>
      </c>
      <c r="B176" s="5" t="s">
        <v>144</v>
      </c>
      <c r="C176" s="9" t="s">
        <v>106</v>
      </c>
      <c r="D176" s="8">
        <v>41214</v>
      </c>
      <c r="E176" s="9" t="s">
        <v>33</v>
      </c>
      <c r="F176" s="5">
        <v>37.962000000000003</v>
      </c>
    </row>
    <row r="177" spans="1:7">
      <c r="A177" s="5" t="s">
        <v>161</v>
      </c>
      <c r="B177" s="5" t="s">
        <v>145</v>
      </c>
      <c r="C177" s="9" t="s">
        <v>106</v>
      </c>
      <c r="D177" s="8">
        <v>41215</v>
      </c>
      <c r="E177" s="9" t="s">
        <v>33</v>
      </c>
      <c r="F177" s="5">
        <v>1.8080000000000001</v>
      </c>
    </row>
    <row r="178" spans="1:7">
      <c r="A178" s="5" t="s">
        <v>163</v>
      </c>
      <c r="B178" s="5" t="s">
        <v>154</v>
      </c>
      <c r="C178" s="9" t="s">
        <v>106</v>
      </c>
      <c r="D178" s="8">
        <v>41214</v>
      </c>
      <c r="E178" s="9" t="s">
        <v>33</v>
      </c>
      <c r="F178" s="5">
        <v>6.0000000000000001E-3</v>
      </c>
    </row>
    <row r="179" spans="1:7">
      <c r="A179" s="5" t="s">
        <v>164</v>
      </c>
      <c r="B179" s="5" t="s">
        <v>155</v>
      </c>
      <c r="C179" s="9" t="s">
        <v>106</v>
      </c>
      <c r="D179" s="8">
        <v>41214</v>
      </c>
      <c r="E179" s="9" t="s">
        <v>33</v>
      </c>
      <c r="F179" s="5">
        <v>15.537000000000001</v>
      </c>
    </row>
    <row r="180" spans="1:7">
      <c r="A180" s="5" t="s">
        <v>162</v>
      </c>
      <c r="B180" s="5" t="s">
        <v>153</v>
      </c>
      <c r="C180" s="9" t="s">
        <v>106</v>
      </c>
      <c r="D180" s="8">
        <v>41214</v>
      </c>
      <c r="E180" s="9" t="s">
        <v>33</v>
      </c>
      <c r="F180" s="5">
        <v>22.312999999999999</v>
      </c>
    </row>
    <row r="181" spans="1:7">
      <c r="A181" s="5" t="s">
        <v>165</v>
      </c>
      <c r="B181" s="5" t="s">
        <v>156</v>
      </c>
      <c r="C181" s="9" t="s">
        <v>106</v>
      </c>
      <c r="D181" s="8">
        <v>41214</v>
      </c>
      <c r="E181" s="9" t="s">
        <v>33</v>
      </c>
      <c r="F181" s="5">
        <v>297.959</v>
      </c>
    </row>
    <row r="182" spans="1:7">
      <c r="A182" s="5" t="s">
        <v>166</v>
      </c>
      <c r="B182" s="5" t="s">
        <v>157</v>
      </c>
      <c r="C182" s="9" t="s">
        <v>106</v>
      </c>
      <c r="D182" s="8">
        <v>41214</v>
      </c>
      <c r="E182" s="9" t="s">
        <v>33</v>
      </c>
      <c r="F182" s="5">
        <v>309.93200000000002</v>
      </c>
    </row>
    <row r="183" spans="1:7">
      <c r="A183" s="5" t="s">
        <v>167</v>
      </c>
      <c r="B183" s="5" t="s">
        <v>158</v>
      </c>
      <c r="C183" s="9" t="s">
        <v>106</v>
      </c>
      <c r="D183" s="8">
        <v>41214</v>
      </c>
      <c r="E183" s="9" t="s">
        <v>33</v>
      </c>
      <c r="F183" s="5">
        <v>5.1769999999999996</v>
      </c>
    </row>
    <row r="184" spans="1:7">
      <c r="A184" s="5" t="s">
        <v>160</v>
      </c>
      <c r="B184" s="5" t="s">
        <v>143</v>
      </c>
      <c r="C184" s="9" t="s">
        <v>168</v>
      </c>
      <c r="D184" s="8">
        <v>41221</v>
      </c>
      <c r="E184" s="9" t="s">
        <v>31</v>
      </c>
      <c r="F184" s="5">
        <v>2.964</v>
      </c>
      <c r="G184" s="5" t="s">
        <v>169</v>
      </c>
    </row>
    <row r="185" spans="1:7">
      <c r="A185" s="5" t="s">
        <v>159</v>
      </c>
      <c r="B185" s="5" t="s">
        <v>144</v>
      </c>
      <c r="C185" s="9" t="s">
        <v>168</v>
      </c>
      <c r="D185" s="8">
        <v>41221</v>
      </c>
      <c r="E185" s="9" t="s">
        <v>31</v>
      </c>
      <c r="F185" s="5">
        <v>32.380000000000003</v>
      </c>
      <c r="G185" s="5" t="s">
        <v>173</v>
      </c>
    </row>
    <row r="186" spans="1:7">
      <c r="A186" s="5" t="s">
        <v>161</v>
      </c>
      <c r="B186" s="5" t="s">
        <v>145</v>
      </c>
      <c r="C186" s="9" t="s">
        <v>168</v>
      </c>
      <c r="D186" s="8">
        <v>41221</v>
      </c>
      <c r="E186" s="9" t="s">
        <v>31</v>
      </c>
      <c r="F186" s="5">
        <v>2.044</v>
      </c>
      <c r="G186" s="5" t="s">
        <v>174</v>
      </c>
    </row>
    <row r="187" spans="1:7">
      <c r="A187" s="5" t="s">
        <v>163</v>
      </c>
      <c r="B187" s="5" t="s">
        <v>154</v>
      </c>
      <c r="C187" s="9" t="s">
        <v>168</v>
      </c>
      <c r="D187" s="8">
        <v>41221</v>
      </c>
      <c r="E187" s="9" t="s">
        <v>31</v>
      </c>
      <c r="F187" s="5">
        <v>3.1E-2</v>
      </c>
      <c r="G187" s="5" t="s">
        <v>175</v>
      </c>
    </row>
    <row r="188" spans="1:7">
      <c r="A188" s="5" t="s">
        <v>164</v>
      </c>
      <c r="B188" s="5" t="s">
        <v>155</v>
      </c>
      <c r="C188" s="9" t="s">
        <v>168</v>
      </c>
      <c r="D188" s="8">
        <v>41221</v>
      </c>
      <c r="E188" s="9" t="s">
        <v>31</v>
      </c>
      <c r="F188" s="5">
        <v>2.5579999999999998</v>
      </c>
      <c r="G188" s="5" t="s">
        <v>176</v>
      </c>
    </row>
    <row r="189" spans="1:7">
      <c r="A189" s="5" t="s">
        <v>162</v>
      </c>
      <c r="B189" s="5" t="s">
        <v>153</v>
      </c>
      <c r="C189" s="9" t="s">
        <v>168</v>
      </c>
      <c r="D189" s="8">
        <v>41221</v>
      </c>
      <c r="E189" s="9" t="s">
        <v>31</v>
      </c>
      <c r="F189" s="5">
        <v>16.692</v>
      </c>
      <c r="G189" s="5" t="s">
        <v>177</v>
      </c>
    </row>
    <row r="190" spans="1:7">
      <c r="A190" s="5" t="s">
        <v>165</v>
      </c>
      <c r="B190" s="5" t="s">
        <v>156</v>
      </c>
      <c r="C190" s="9" t="s">
        <v>168</v>
      </c>
      <c r="D190" s="8">
        <v>41221</v>
      </c>
      <c r="E190" s="9" t="s">
        <v>31</v>
      </c>
      <c r="F190" s="5">
        <v>52.853000000000002</v>
      </c>
      <c r="G190" s="5" t="s">
        <v>170</v>
      </c>
    </row>
    <row r="191" spans="1:7">
      <c r="A191" s="5" t="s">
        <v>166</v>
      </c>
      <c r="B191" s="5" t="s">
        <v>157</v>
      </c>
      <c r="C191" s="9" t="s">
        <v>168</v>
      </c>
      <c r="D191" s="8">
        <v>41221</v>
      </c>
      <c r="E191" s="9" t="s">
        <v>31</v>
      </c>
      <c r="F191" s="5">
        <v>0.14000000000000001</v>
      </c>
      <c r="G191" s="5" t="s">
        <v>171</v>
      </c>
    </row>
    <row r="192" spans="1:7">
      <c r="A192" s="5" t="s">
        <v>167</v>
      </c>
      <c r="B192" s="5" t="s">
        <v>158</v>
      </c>
      <c r="C192" s="9" t="s">
        <v>168</v>
      </c>
      <c r="D192" s="8">
        <v>41221</v>
      </c>
      <c r="E192" s="9" t="s">
        <v>31</v>
      </c>
      <c r="F192" s="5">
        <v>5.0229999999999997</v>
      </c>
      <c r="G192" s="18" t="s">
        <v>172</v>
      </c>
    </row>
    <row r="193" spans="1:7">
      <c r="A193" s="5" t="s">
        <v>160</v>
      </c>
      <c r="B193" s="5" t="s">
        <v>143</v>
      </c>
      <c r="C193" s="9" t="s">
        <v>168</v>
      </c>
      <c r="D193" s="8">
        <v>41221</v>
      </c>
      <c r="E193" s="9" t="s">
        <v>33</v>
      </c>
      <c r="F193" s="5">
        <v>1.8859999999999999</v>
      </c>
      <c r="G193" s="5" t="s">
        <v>178</v>
      </c>
    </row>
    <row r="194" spans="1:7">
      <c r="A194" s="5" t="s">
        <v>159</v>
      </c>
      <c r="B194" s="5" t="s">
        <v>144</v>
      </c>
      <c r="C194" s="9" t="s">
        <v>168</v>
      </c>
      <c r="D194" s="8">
        <v>41221</v>
      </c>
      <c r="E194" s="9" t="s">
        <v>33</v>
      </c>
      <c r="F194" s="5">
        <v>16.71</v>
      </c>
      <c r="G194" s="5" t="s">
        <v>177</v>
      </c>
    </row>
    <row r="195" spans="1:7">
      <c r="A195" s="5" t="s">
        <v>161</v>
      </c>
      <c r="B195" s="5" t="s">
        <v>145</v>
      </c>
      <c r="C195" s="9" t="s">
        <v>168</v>
      </c>
      <c r="D195" s="8">
        <v>41221</v>
      </c>
      <c r="E195" s="9" t="s">
        <v>33</v>
      </c>
      <c r="F195" s="5">
        <v>1.4</v>
      </c>
      <c r="G195" s="5" t="s">
        <v>182</v>
      </c>
    </row>
    <row r="196" spans="1:7">
      <c r="A196" s="5" t="s">
        <v>163</v>
      </c>
      <c r="B196" s="5" t="s">
        <v>154</v>
      </c>
      <c r="C196" s="9" t="s">
        <v>168</v>
      </c>
      <c r="D196" s="8">
        <v>41221</v>
      </c>
      <c r="E196" s="9" t="s">
        <v>33</v>
      </c>
      <c r="F196" s="5">
        <v>4.5999999999999999E-3</v>
      </c>
      <c r="G196" s="5" t="s">
        <v>183</v>
      </c>
    </row>
    <row r="197" spans="1:7">
      <c r="A197" s="5" t="s">
        <v>164</v>
      </c>
      <c r="B197" s="5" t="s">
        <v>155</v>
      </c>
      <c r="C197" s="9" t="s">
        <v>168</v>
      </c>
      <c r="D197" s="8">
        <v>41221</v>
      </c>
      <c r="E197" s="9" t="s">
        <v>33</v>
      </c>
      <c r="F197" s="5">
        <v>2.1019999999999999</v>
      </c>
      <c r="G197" s="5" t="s">
        <v>184</v>
      </c>
    </row>
    <row r="198" spans="1:7">
      <c r="A198" s="5" t="s">
        <v>162</v>
      </c>
      <c r="B198" s="5" t="s">
        <v>153</v>
      </c>
      <c r="C198" s="9" t="s">
        <v>168</v>
      </c>
      <c r="D198" s="8">
        <v>41221</v>
      </c>
      <c r="E198" s="9" t="s">
        <v>33</v>
      </c>
      <c r="F198" s="5">
        <v>13.35</v>
      </c>
      <c r="G198" s="5" t="s">
        <v>185</v>
      </c>
    </row>
    <row r="199" spans="1:7">
      <c r="A199" s="5" t="s">
        <v>165</v>
      </c>
      <c r="B199" s="5" t="s">
        <v>156</v>
      </c>
      <c r="C199" s="9" t="s">
        <v>168</v>
      </c>
      <c r="D199" s="8">
        <v>41221</v>
      </c>
      <c r="E199" s="9" t="s">
        <v>33</v>
      </c>
      <c r="F199" s="5">
        <v>42.41</v>
      </c>
      <c r="G199" s="5" t="s">
        <v>179</v>
      </c>
    </row>
    <row r="200" spans="1:7">
      <c r="A200" s="5" t="s">
        <v>166</v>
      </c>
      <c r="B200" s="5" t="s">
        <v>157</v>
      </c>
      <c r="C200" s="9" t="s">
        <v>168</v>
      </c>
      <c r="D200" s="8">
        <v>41221</v>
      </c>
      <c r="E200" s="9" t="s">
        <v>33</v>
      </c>
      <c r="F200" s="5">
        <v>6.6900000000000001E-2</v>
      </c>
      <c r="G200" s="5" t="s">
        <v>180</v>
      </c>
    </row>
    <row r="201" spans="1:7">
      <c r="A201" s="5" t="s">
        <v>167</v>
      </c>
      <c r="B201" s="5" t="s">
        <v>158</v>
      </c>
      <c r="C201" s="9" t="s">
        <v>168</v>
      </c>
      <c r="D201" s="8">
        <v>41221</v>
      </c>
      <c r="E201" s="9" t="s">
        <v>33</v>
      </c>
      <c r="F201" s="5">
        <v>4.2160000000000002</v>
      </c>
      <c r="G201" s="5" t="s">
        <v>181</v>
      </c>
    </row>
    <row r="202" spans="1:7">
      <c r="A202" s="5" t="s">
        <v>160</v>
      </c>
      <c r="B202" s="5" t="s">
        <v>143</v>
      </c>
      <c r="C202" s="9" t="s">
        <v>168</v>
      </c>
      <c r="D202" s="8">
        <v>41221</v>
      </c>
      <c r="E202" s="9" t="s">
        <v>31</v>
      </c>
      <c r="F202" s="5">
        <v>2.5270000000000001</v>
      </c>
    </row>
    <row r="203" spans="1:7">
      <c r="A203" s="5" t="s">
        <v>159</v>
      </c>
      <c r="B203" s="5" t="s">
        <v>144</v>
      </c>
      <c r="C203" s="9" t="s">
        <v>168</v>
      </c>
      <c r="D203" s="8">
        <v>41221</v>
      </c>
      <c r="E203" s="9" t="s">
        <v>31</v>
      </c>
      <c r="F203" s="5">
        <v>107.97</v>
      </c>
      <c r="G203" s="6" t="s">
        <v>189</v>
      </c>
    </row>
    <row r="204" spans="1:7">
      <c r="A204" s="5" t="s">
        <v>161</v>
      </c>
      <c r="B204" s="5" t="s">
        <v>145</v>
      </c>
      <c r="C204" s="9" t="s">
        <v>168</v>
      </c>
      <c r="D204" s="8">
        <v>41221</v>
      </c>
      <c r="E204" s="9" t="s">
        <v>31</v>
      </c>
      <c r="F204" s="5">
        <v>2.1059999999999999</v>
      </c>
      <c r="G204" s="6" t="s">
        <v>186</v>
      </c>
    </row>
    <row r="205" spans="1:7">
      <c r="A205" s="5" t="s">
        <v>187</v>
      </c>
      <c r="B205" s="5" t="s">
        <v>188</v>
      </c>
      <c r="C205" s="9" t="s">
        <v>168</v>
      </c>
      <c r="D205" s="8">
        <v>41221</v>
      </c>
      <c r="E205" s="9" t="s">
        <v>31</v>
      </c>
      <c r="F205" s="5">
        <v>304.39</v>
      </c>
      <c r="G205" s="6" t="s">
        <v>186</v>
      </c>
    </row>
    <row r="206" spans="1:7">
      <c r="A206" s="5" t="s">
        <v>163</v>
      </c>
      <c r="B206" s="5" t="s">
        <v>154</v>
      </c>
      <c r="C206" s="9" t="s">
        <v>168</v>
      </c>
      <c r="D206" s="8">
        <v>41221</v>
      </c>
      <c r="E206" s="9" t="s">
        <v>31</v>
      </c>
      <c r="F206" s="5">
        <v>1.5599999999999999E-2</v>
      </c>
      <c r="G206" s="6" t="s">
        <v>186</v>
      </c>
    </row>
    <row r="207" spans="1:7">
      <c r="A207" s="5" t="s">
        <v>164</v>
      </c>
      <c r="B207" s="5" t="s">
        <v>155</v>
      </c>
      <c r="C207" s="9" t="s">
        <v>168</v>
      </c>
      <c r="D207" s="8">
        <v>41221</v>
      </c>
      <c r="E207" s="9" t="s">
        <v>31</v>
      </c>
      <c r="F207" s="5">
        <v>9.173</v>
      </c>
      <c r="G207" s="6" t="s">
        <v>190</v>
      </c>
    </row>
    <row r="208" spans="1:7">
      <c r="A208" s="5" t="s">
        <v>162</v>
      </c>
      <c r="B208" s="5" t="s">
        <v>153</v>
      </c>
      <c r="C208" s="9" t="s">
        <v>168</v>
      </c>
      <c r="D208" s="8">
        <v>41221</v>
      </c>
      <c r="E208" s="9" t="s">
        <v>31</v>
      </c>
      <c r="F208" s="5">
        <v>39.484000000000002</v>
      </c>
      <c r="G208" s="6" t="s">
        <v>191</v>
      </c>
    </row>
    <row r="209" spans="1:8">
      <c r="A209" s="5" t="s">
        <v>165</v>
      </c>
      <c r="B209" s="5" t="s">
        <v>156</v>
      </c>
      <c r="C209" s="9" t="s">
        <v>168</v>
      </c>
      <c r="D209" s="8">
        <v>41221</v>
      </c>
      <c r="E209" s="9" t="s">
        <v>31</v>
      </c>
      <c r="F209" s="5">
        <v>53.274999999999999</v>
      </c>
    </row>
    <row r="210" spans="1:8">
      <c r="A210" s="5" t="s">
        <v>166</v>
      </c>
      <c r="B210" s="5" t="s">
        <v>157</v>
      </c>
      <c r="C210" s="9" t="s">
        <v>168</v>
      </c>
      <c r="D210" s="8">
        <v>41221</v>
      </c>
      <c r="E210" s="9" t="s">
        <v>31</v>
      </c>
      <c r="F210" s="5">
        <v>0.109</v>
      </c>
    </row>
    <row r="211" spans="1:8">
      <c r="A211" s="5" t="s">
        <v>167</v>
      </c>
      <c r="B211" s="5" t="s">
        <v>158</v>
      </c>
      <c r="C211" s="9" t="s">
        <v>168</v>
      </c>
      <c r="D211" s="8">
        <v>41221</v>
      </c>
      <c r="E211" s="9" t="s">
        <v>31</v>
      </c>
      <c r="F211" s="5">
        <v>5.101</v>
      </c>
    </row>
    <row r="212" spans="1:8">
      <c r="A212" s="5" t="s">
        <v>160</v>
      </c>
      <c r="B212" s="5" t="s">
        <v>143</v>
      </c>
      <c r="C212" s="9" t="s">
        <v>168</v>
      </c>
      <c r="D212" s="8">
        <v>41221</v>
      </c>
      <c r="E212" s="9" t="s">
        <v>33</v>
      </c>
      <c r="F212" s="5">
        <v>1.802</v>
      </c>
    </row>
    <row r="213" spans="1:8">
      <c r="A213" s="5" t="s">
        <v>159</v>
      </c>
      <c r="B213" s="5" t="s">
        <v>144</v>
      </c>
      <c r="C213" s="9" t="s">
        <v>168</v>
      </c>
      <c r="D213" s="8">
        <v>41221</v>
      </c>
      <c r="E213" s="9" t="s">
        <v>33</v>
      </c>
      <c r="F213" s="5">
        <v>50.292000000000002</v>
      </c>
      <c r="G213" s="6" t="s">
        <v>192</v>
      </c>
    </row>
    <row r="214" spans="1:8">
      <c r="A214" s="5" t="s">
        <v>161</v>
      </c>
      <c r="B214" s="5" t="s">
        <v>145</v>
      </c>
      <c r="C214" s="9" t="s">
        <v>168</v>
      </c>
      <c r="D214" s="8">
        <v>41221</v>
      </c>
      <c r="E214" s="9" t="s">
        <v>33</v>
      </c>
      <c r="F214" s="5">
        <v>1.5660000000000001</v>
      </c>
      <c r="G214" s="6" t="s">
        <v>186</v>
      </c>
    </row>
    <row r="215" spans="1:8">
      <c r="A215" s="5" t="s">
        <v>187</v>
      </c>
      <c r="B215" s="5" t="s">
        <v>188</v>
      </c>
      <c r="C215" s="9" t="s">
        <v>168</v>
      </c>
      <c r="D215" s="8">
        <v>41221</v>
      </c>
      <c r="E215" s="9" t="s">
        <v>33</v>
      </c>
      <c r="F215" s="5">
        <v>199.88</v>
      </c>
      <c r="G215" s="6" t="s">
        <v>186</v>
      </c>
    </row>
    <row r="216" spans="1:8">
      <c r="A216" s="5" t="s">
        <v>163</v>
      </c>
      <c r="B216" s="5" t="s">
        <v>154</v>
      </c>
      <c r="C216" s="9" t="s">
        <v>168</v>
      </c>
      <c r="D216" s="8">
        <v>41221</v>
      </c>
      <c r="E216" s="9" t="s">
        <v>33</v>
      </c>
      <c r="F216" s="5">
        <v>4.5999999999999999E-3</v>
      </c>
      <c r="G216" s="6" t="s">
        <v>186</v>
      </c>
    </row>
    <row r="217" spans="1:8">
      <c r="A217" s="5" t="s">
        <v>164</v>
      </c>
      <c r="B217" s="5" t="s">
        <v>155</v>
      </c>
      <c r="C217" s="9" t="s">
        <v>168</v>
      </c>
      <c r="D217" s="8">
        <v>41221</v>
      </c>
      <c r="E217" s="9" t="s">
        <v>33</v>
      </c>
      <c r="F217" s="5">
        <v>7.2969999999999997</v>
      </c>
      <c r="G217" s="6" t="s">
        <v>193</v>
      </c>
    </row>
    <row r="218" spans="1:8">
      <c r="A218" s="5" t="s">
        <v>162</v>
      </c>
      <c r="B218" s="5" t="s">
        <v>153</v>
      </c>
      <c r="C218" s="9" t="s">
        <v>168</v>
      </c>
      <c r="D218" s="8">
        <v>41221</v>
      </c>
      <c r="E218" s="9" t="s">
        <v>33</v>
      </c>
      <c r="F218" s="5">
        <v>31.027000000000001</v>
      </c>
      <c r="G218" s="6" t="s">
        <v>191</v>
      </c>
    </row>
    <row r="219" spans="1:8">
      <c r="A219" s="5" t="s">
        <v>165</v>
      </c>
      <c r="B219" s="5" t="s">
        <v>156</v>
      </c>
      <c r="C219" s="9" t="s">
        <v>168</v>
      </c>
      <c r="D219" s="8">
        <v>41221</v>
      </c>
      <c r="E219" s="9" t="s">
        <v>33</v>
      </c>
      <c r="F219" s="5">
        <v>37.311999999999998</v>
      </c>
    </row>
    <row r="220" spans="1:8">
      <c r="A220" s="5" t="s">
        <v>166</v>
      </c>
      <c r="B220" s="5" t="s">
        <v>157</v>
      </c>
      <c r="C220" s="9" t="s">
        <v>168</v>
      </c>
      <c r="D220" s="8">
        <v>41221</v>
      </c>
      <c r="E220" s="9" t="s">
        <v>33</v>
      </c>
      <c r="F220" s="5">
        <v>9.69E-2</v>
      </c>
    </row>
    <row r="221" spans="1:8">
      <c r="A221" s="5" t="s">
        <v>167</v>
      </c>
      <c r="B221" s="5" t="s">
        <v>158</v>
      </c>
      <c r="C221" s="9" t="s">
        <v>168</v>
      </c>
      <c r="D221" s="8">
        <v>41221</v>
      </c>
      <c r="E221" s="9" t="s">
        <v>33</v>
      </c>
      <c r="F221" s="5">
        <v>4.1970000000000001</v>
      </c>
    </row>
    <row r="222" spans="1:8">
      <c r="A222" s="5" t="s">
        <v>38</v>
      </c>
      <c r="B222" s="5" t="s">
        <v>39</v>
      </c>
      <c r="C222" s="9" t="s">
        <v>194</v>
      </c>
      <c r="D222" s="8">
        <v>41297</v>
      </c>
      <c r="E222" s="9" t="s">
        <v>31</v>
      </c>
      <c r="F222" s="5">
        <v>22.645</v>
      </c>
      <c r="G222" s="7">
        <v>21.981000000000002</v>
      </c>
      <c r="H222" t="s">
        <v>103</v>
      </c>
    </row>
    <row r="223" spans="1:8">
      <c r="A223" s="5" t="s">
        <v>38</v>
      </c>
      <c r="B223" s="5" t="s">
        <v>55</v>
      </c>
      <c r="C223" s="9" t="s">
        <v>194</v>
      </c>
      <c r="D223" s="8">
        <v>41297</v>
      </c>
      <c r="E223" s="9" t="s">
        <v>31</v>
      </c>
      <c r="F223" s="19">
        <v>31.408000000000001</v>
      </c>
      <c r="G223" s="20">
        <v>27.175000000000001</v>
      </c>
    </row>
    <row r="224" spans="1:8">
      <c r="A224" s="5" t="s">
        <v>38</v>
      </c>
      <c r="B224" s="5" t="s">
        <v>56</v>
      </c>
      <c r="C224" s="9" t="s">
        <v>194</v>
      </c>
      <c r="D224" s="8">
        <v>41297</v>
      </c>
      <c r="E224" s="9" t="s">
        <v>31</v>
      </c>
      <c r="F224" s="5">
        <v>27.664000000000001</v>
      </c>
      <c r="G224" s="7">
        <v>28.018000000000001</v>
      </c>
    </row>
    <row r="225" spans="1:8">
      <c r="A225" s="5" t="s">
        <v>36</v>
      </c>
      <c r="B225" s="5" t="s">
        <v>37</v>
      </c>
      <c r="C225" s="9" t="s">
        <v>194</v>
      </c>
      <c r="D225" s="8">
        <v>41297</v>
      </c>
      <c r="E225" s="9" t="s">
        <v>31</v>
      </c>
      <c r="F225" s="19">
        <v>21.975000000000001</v>
      </c>
      <c r="G225" s="20">
        <v>16.568000000000001</v>
      </c>
      <c r="H225" t="s">
        <v>80</v>
      </c>
    </row>
    <row r="226" spans="1:8">
      <c r="A226" s="5" t="s">
        <v>36</v>
      </c>
      <c r="B226" s="5" t="s">
        <v>61</v>
      </c>
      <c r="C226" s="9" t="s">
        <v>194</v>
      </c>
      <c r="D226" s="8">
        <v>41297</v>
      </c>
      <c r="E226" s="9" t="s">
        <v>31</v>
      </c>
      <c r="F226" s="5">
        <v>7.226</v>
      </c>
      <c r="G226" s="7">
        <v>7.3789999999999996</v>
      </c>
    </row>
    <row r="227" spans="1:8">
      <c r="A227" s="5" t="s">
        <v>36</v>
      </c>
      <c r="B227" s="5" t="s">
        <v>62</v>
      </c>
      <c r="C227" s="9" t="s">
        <v>194</v>
      </c>
      <c r="D227" s="8">
        <v>41297</v>
      </c>
      <c r="E227" s="9" t="s">
        <v>31</v>
      </c>
      <c r="F227" s="5">
        <v>10.472</v>
      </c>
      <c r="G227" s="7">
        <v>13.76</v>
      </c>
    </row>
    <row r="228" spans="1:8">
      <c r="A228" s="5" t="s">
        <v>63</v>
      </c>
      <c r="B228" s="5" t="s">
        <v>60</v>
      </c>
      <c r="C228" s="9" t="s">
        <v>194</v>
      </c>
      <c r="D228" s="8">
        <v>41297</v>
      </c>
      <c r="E228" s="9" t="s">
        <v>31</v>
      </c>
      <c r="F228" s="19">
        <v>21.788</v>
      </c>
      <c r="G228" s="20">
        <v>14.321</v>
      </c>
    </row>
    <row r="229" spans="1:8">
      <c r="A229" s="5" t="s">
        <v>63</v>
      </c>
      <c r="B229" s="5" t="s">
        <v>66</v>
      </c>
      <c r="C229" s="9" t="s">
        <v>194</v>
      </c>
      <c r="D229" s="8">
        <v>41297</v>
      </c>
      <c r="E229" s="9" t="s">
        <v>31</v>
      </c>
      <c r="F229" s="19">
        <v>36.130000000000003</v>
      </c>
      <c r="G229" s="20">
        <v>17.988</v>
      </c>
    </row>
    <row r="230" spans="1:8">
      <c r="A230" s="5" t="s">
        <v>160</v>
      </c>
      <c r="B230" s="5" t="s">
        <v>143</v>
      </c>
      <c r="C230" s="9" t="s">
        <v>194</v>
      </c>
      <c r="D230" s="8">
        <v>41297</v>
      </c>
      <c r="E230" s="9" t="s">
        <v>31</v>
      </c>
      <c r="F230" s="5">
        <v>1.8720000000000001</v>
      </c>
      <c r="G230" s="5">
        <v>2.5270000000000001</v>
      </c>
      <c r="H230" t="s">
        <v>168</v>
      </c>
    </row>
    <row r="231" spans="1:8">
      <c r="A231" s="5" t="s">
        <v>159</v>
      </c>
      <c r="B231" s="5" t="s">
        <v>144</v>
      </c>
      <c r="C231" s="9" t="s">
        <v>194</v>
      </c>
      <c r="D231" s="8">
        <v>41297</v>
      </c>
      <c r="E231" s="9" t="s">
        <v>31</v>
      </c>
      <c r="F231" s="5">
        <v>79.001000000000005</v>
      </c>
      <c r="G231" s="5">
        <v>107.97</v>
      </c>
    </row>
    <row r="232" spans="1:8">
      <c r="A232" s="5" t="s">
        <v>161</v>
      </c>
      <c r="B232" s="5" t="s">
        <v>145</v>
      </c>
      <c r="C232" s="9" t="s">
        <v>194</v>
      </c>
      <c r="D232" s="8">
        <v>41297</v>
      </c>
      <c r="E232" s="9" t="s">
        <v>31</v>
      </c>
      <c r="F232" s="5">
        <v>1.6850000000000001</v>
      </c>
      <c r="G232" s="5">
        <v>2.1059999999999999</v>
      </c>
    </row>
    <row r="233" spans="1:8">
      <c r="A233" s="5" t="s">
        <v>187</v>
      </c>
      <c r="B233" s="5" t="s">
        <v>188</v>
      </c>
      <c r="C233" s="9" t="s">
        <v>194</v>
      </c>
      <c r="D233" s="8">
        <v>41297</v>
      </c>
      <c r="E233" s="9" t="s">
        <v>31</v>
      </c>
      <c r="F233" s="5">
        <v>311</v>
      </c>
      <c r="G233" s="5">
        <v>304.39</v>
      </c>
    </row>
    <row r="234" spans="1:8">
      <c r="A234" s="5" t="s">
        <v>163</v>
      </c>
      <c r="B234" s="5" t="s">
        <v>154</v>
      </c>
      <c r="C234" s="9" t="s">
        <v>194</v>
      </c>
      <c r="D234" s="8">
        <v>41297</v>
      </c>
      <c r="E234" s="9" t="s">
        <v>31</v>
      </c>
      <c r="F234" s="5">
        <v>0</v>
      </c>
      <c r="G234" s="5">
        <v>1.5599999999999999E-2</v>
      </c>
    </row>
    <row r="235" spans="1:8">
      <c r="A235" s="5" t="s">
        <v>164</v>
      </c>
      <c r="B235" s="5" t="s">
        <v>155</v>
      </c>
      <c r="C235" s="9" t="s">
        <v>194</v>
      </c>
      <c r="D235" s="8">
        <v>41297</v>
      </c>
      <c r="E235" s="9" t="s">
        <v>31</v>
      </c>
      <c r="F235" s="5">
        <v>9.766</v>
      </c>
      <c r="G235" s="5">
        <v>9.173</v>
      </c>
    </row>
    <row r="236" spans="1:8">
      <c r="A236" s="5" t="s">
        <v>162</v>
      </c>
      <c r="B236" s="5" t="s">
        <v>153</v>
      </c>
      <c r="C236" s="9" t="s">
        <v>194</v>
      </c>
      <c r="D236" s="8">
        <v>41297</v>
      </c>
      <c r="E236" s="9" t="s">
        <v>31</v>
      </c>
      <c r="F236" s="5">
        <v>39.015999999999998</v>
      </c>
      <c r="G236" s="5">
        <v>39.484000000000002</v>
      </c>
    </row>
    <row r="237" spans="1:8">
      <c r="A237" s="5" t="s">
        <v>165</v>
      </c>
      <c r="B237" s="5" t="s">
        <v>156</v>
      </c>
      <c r="C237" s="9" t="s">
        <v>194</v>
      </c>
      <c r="D237" s="8">
        <v>41297</v>
      </c>
      <c r="E237" s="9" t="s">
        <v>31</v>
      </c>
      <c r="F237" s="5">
        <v>50.372999999999998</v>
      </c>
      <c r="G237" s="5">
        <v>53.274999999999999</v>
      </c>
    </row>
    <row r="238" spans="1:8">
      <c r="A238" s="5" t="s">
        <v>166</v>
      </c>
      <c r="B238" s="5" t="s">
        <v>157</v>
      </c>
      <c r="C238" s="9" t="s">
        <v>194</v>
      </c>
      <c r="D238" s="8">
        <v>41297</v>
      </c>
      <c r="E238" s="9" t="s">
        <v>31</v>
      </c>
      <c r="F238" s="5">
        <v>0</v>
      </c>
      <c r="G238" s="5">
        <v>0.109</v>
      </c>
    </row>
    <row r="239" spans="1:8">
      <c r="A239" s="5" t="s">
        <v>167</v>
      </c>
      <c r="B239" s="5" t="s">
        <v>158</v>
      </c>
      <c r="C239" s="9" t="s">
        <v>194</v>
      </c>
      <c r="D239" s="8">
        <v>41297</v>
      </c>
      <c r="E239" s="9" t="s">
        <v>31</v>
      </c>
      <c r="F239" s="5">
        <v>5.4290000000000003</v>
      </c>
      <c r="G239" s="5">
        <v>5.101</v>
      </c>
    </row>
    <row r="240" spans="1:8">
      <c r="A240" s="5" t="s">
        <v>94</v>
      </c>
      <c r="B240" s="5" t="s">
        <v>95</v>
      </c>
      <c r="C240" s="9" t="s">
        <v>194</v>
      </c>
      <c r="D240" s="8">
        <v>41297</v>
      </c>
      <c r="E240" s="9" t="s">
        <v>31</v>
      </c>
      <c r="F240" s="5">
        <v>43.884</v>
      </c>
      <c r="G240" s="12">
        <v>48.985999999999997</v>
      </c>
      <c r="H240" t="s">
        <v>106</v>
      </c>
    </row>
    <row r="241" spans="1:8">
      <c r="A241" s="5" t="s">
        <v>94</v>
      </c>
      <c r="B241" s="5" t="s">
        <v>96</v>
      </c>
      <c r="C241" s="9" t="s">
        <v>194</v>
      </c>
      <c r="D241" s="8">
        <v>41297</v>
      </c>
      <c r="E241" s="9" t="s">
        <v>31</v>
      </c>
      <c r="F241" s="5">
        <v>24.353000000000002</v>
      </c>
      <c r="G241" s="12">
        <v>30.78</v>
      </c>
    </row>
    <row r="242" spans="1:8">
      <c r="A242" s="5" t="s">
        <v>94</v>
      </c>
      <c r="B242" s="5" t="s">
        <v>97</v>
      </c>
      <c r="C242" s="9" t="s">
        <v>194</v>
      </c>
      <c r="D242" s="8">
        <v>41297</v>
      </c>
      <c r="E242" s="9" t="s">
        <v>31</v>
      </c>
      <c r="F242" s="5">
        <v>17.832000000000001</v>
      </c>
      <c r="G242" s="12">
        <v>25.273</v>
      </c>
    </row>
    <row r="243" spans="1:8">
      <c r="A243" s="5" t="s">
        <v>94</v>
      </c>
      <c r="B243" s="5" t="s">
        <v>98</v>
      </c>
      <c r="C243" s="9" t="s">
        <v>194</v>
      </c>
      <c r="D243" s="8">
        <v>41297</v>
      </c>
      <c r="E243" s="9" t="s">
        <v>31</v>
      </c>
      <c r="F243" s="5">
        <v>17.27</v>
      </c>
      <c r="G243" s="12">
        <v>24.32</v>
      </c>
    </row>
    <row r="244" spans="1:8">
      <c r="A244" s="5" t="s">
        <v>94</v>
      </c>
      <c r="B244" s="5" t="s">
        <v>99</v>
      </c>
      <c r="C244" s="9" t="s">
        <v>194</v>
      </c>
      <c r="D244" s="8">
        <v>41297</v>
      </c>
      <c r="E244" s="9" t="s">
        <v>31</v>
      </c>
      <c r="F244" s="5">
        <v>17.783999999999999</v>
      </c>
      <c r="G244" s="12">
        <v>24.957999999999998</v>
      </c>
    </row>
    <row r="245" spans="1:8">
      <c r="A245" s="5" t="s">
        <v>94</v>
      </c>
      <c r="B245" s="5" t="s">
        <v>100</v>
      </c>
      <c r="C245" s="9" t="s">
        <v>194</v>
      </c>
      <c r="D245" s="8">
        <v>41297</v>
      </c>
      <c r="E245" s="9" t="s">
        <v>31</v>
      </c>
      <c r="F245" s="5">
        <v>17.815999999999999</v>
      </c>
      <c r="G245" s="12">
        <v>25.457999999999998</v>
      </c>
    </row>
    <row r="246" spans="1:8">
      <c r="A246" s="5" t="s">
        <v>94</v>
      </c>
      <c r="B246" s="5" t="s">
        <v>101</v>
      </c>
      <c r="C246" s="9" t="s">
        <v>194</v>
      </c>
      <c r="D246" s="8">
        <v>41297</v>
      </c>
      <c r="E246" s="9" t="s">
        <v>31</v>
      </c>
      <c r="F246" s="5">
        <v>17.535</v>
      </c>
      <c r="G246" s="12">
        <v>24.35</v>
      </c>
    </row>
    <row r="247" spans="1:8">
      <c r="A247" s="5" t="s">
        <v>94</v>
      </c>
      <c r="B247" s="5" t="s">
        <v>105</v>
      </c>
      <c r="C247" s="9" t="s">
        <v>194</v>
      </c>
      <c r="D247" s="8">
        <v>41297</v>
      </c>
      <c r="E247" s="9" t="s">
        <v>31</v>
      </c>
      <c r="F247" s="5">
        <v>416.17700000000002</v>
      </c>
      <c r="G247" s="12">
        <v>415.47800000000001</v>
      </c>
    </row>
    <row r="248" spans="1:8">
      <c r="A248" s="5" t="s">
        <v>38</v>
      </c>
      <c r="B248" s="5" t="s">
        <v>39</v>
      </c>
      <c r="C248" s="9" t="s">
        <v>194</v>
      </c>
      <c r="D248" s="8">
        <v>41298</v>
      </c>
      <c r="E248" s="9" t="s">
        <v>33</v>
      </c>
      <c r="F248" s="5">
        <v>13.366</v>
      </c>
      <c r="G248" s="7">
        <v>14.834</v>
      </c>
      <c r="H248" t="s">
        <v>65</v>
      </c>
    </row>
    <row r="249" spans="1:8">
      <c r="A249" s="5" t="s">
        <v>38</v>
      </c>
      <c r="B249" s="5" t="s">
        <v>55</v>
      </c>
      <c r="C249" s="9" t="s">
        <v>194</v>
      </c>
      <c r="D249" s="8">
        <v>41298</v>
      </c>
      <c r="E249" s="9" t="s">
        <v>33</v>
      </c>
      <c r="F249" s="5">
        <v>18.774999999999999</v>
      </c>
      <c r="G249" s="7">
        <v>53.374000000000002</v>
      </c>
    </row>
    <row r="250" spans="1:8">
      <c r="A250" s="5" t="s">
        <v>38</v>
      </c>
      <c r="B250" s="5" t="s">
        <v>56</v>
      </c>
      <c r="C250" s="9" t="s">
        <v>194</v>
      </c>
      <c r="D250" s="8">
        <v>41298</v>
      </c>
      <c r="E250" s="9" t="s">
        <v>33</v>
      </c>
      <c r="F250" s="5">
        <v>21.498999999999999</v>
      </c>
      <c r="G250" s="7">
        <v>57.29</v>
      </c>
    </row>
    <row r="251" spans="1:8">
      <c r="A251" s="5" t="s">
        <v>36</v>
      </c>
      <c r="B251" s="5" t="s">
        <v>37</v>
      </c>
      <c r="C251" s="9" t="s">
        <v>194</v>
      </c>
      <c r="D251" s="8">
        <v>41298</v>
      </c>
      <c r="E251" s="9" t="s">
        <v>33</v>
      </c>
      <c r="F251" s="19">
        <v>10.315</v>
      </c>
      <c r="G251" s="20">
        <v>7.44</v>
      </c>
      <c r="H251" t="s">
        <v>80</v>
      </c>
    </row>
    <row r="252" spans="1:8">
      <c r="A252" s="5" t="s">
        <v>36</v>
      </c>
      <c r="B252" s="5" t="s">
        <v>61</v>
      </c>
      <c r="C252" s="9" t="s">
        <v>194</v>
      </c>
      <c r="D252" s="8">
        <v>41298</v>
      </c>
      <c r="E252" s="9" t="s">
        <v>33</v>
      </c>
      <c r="F252" s="5">
        <v>3.089</v>
      </c>
      <c r="G252" s="7">
        <v>3.41</v>
      </c>
    </row>
    <row r="253" spans="1:8">
      <c r="A253" s="5" t="s">
        <v>36</v>
      </c>
      <c r="B253" s="5" t="s">
        <v>62</v>
      </c>
      <c r="C253" s="9" t="s">
        <v>194</v>
      </c>
      <c r="D253" s="8">
        <v>41298</v>
      </c>
      <c r="E253" s="9" t="s">
        <v>33</v>
      </c>
      <c r="F253" s="5">
        <v>4.45</v>
      </c>
      <c r="G253" s="7">
        <v>4.62</v>
      </c>
    </row>
    <row r="254" spans="1:8">
      <c r="A254" s="5" t="s">
        <v>63</v>
      </c>
      <c r="B254" s="5" t="s">
        <v>60</v>
      </c>
      <c r="C254" s="9" t="s">
        <v>194</v>
      </c>
      <c r="D254" s="8">
        <v>41298</v>
      </c>
      <c r="E254" s="9" t="s">
        <v>33</v>
      </c>
      <c r="F254" s="19">
        <v>9.6059999999999999</v>
      </c>
      <c r="G254" s="20">
        <v>6.98</v>
      </c>
    </row>
    <row r="255" spans="1:8">
      <c r="A255" s="5" t="s">
        <v>63</v>
      </c>
      <c r="B255" s="5" t="s">
        <v>66</v>
      </c>
      <c r="C255" s="9" t="s">
        <v>194</v>
      </c>
      <c r="D255" s="8">
        <v>41298</v>
      </c>
      <c r="E255" s="9" t="s">
        <v>33</v>
      </c>
      <c r="F255" s="19">
        <v>17.652999999999999</v>
      </c>
      <c r="G255" s="20">
        <v>9.3699999999999992</v>
      </c>
    </row>
    <row r="256" spans="1:8">
      <c r="A256" s="5" t="s">
        <v>160</v>
      </c>
      <c r="B256" s="5" t="s">
        <v>143</v>
      </c>
      <c r="C256" s="9" t="s">
        <v>194</v>
      </c>
      <c r="D256" s="8">
        <v>41298</v>
      </c>
      <c r="E256" s="9" t="s">
        <v>33</v>
      </c>
      <c r="F256" s="5">
        <v>1.929</v>
      </c>
      <c r="G256" s="5">
        <v>1.802</v>
      </c>
      <c r="H256" t="s">
        <v>168</v>
      </c>
    </row>
    <row r="257" spans="1:8">
      <c r="A257" s="5" t="s">
        <v>159</v>
      </c>
      <c r="B257" s="5" t="s">
        <v>144</v>
      </c>
      <c r="C257" s="9" t="s">
        <v>194</v>
      </c>
      <c r="D257" s="8">
        <v>41298</v>
      </c>
      <c r="E257" s="9" t="s">
        <v>33</v>
      </c>
      <c r="F257" s="5">
        <v>49.777999999999999</v>
      </c>
      <c r="G257" s="5">
        <v>50.292000000000002</v>
      </c>
    </row>
    <row r="258" spans="1:8">
      <c r="A258" s="5" t="s">
        <v>161</v>
      </c>
      <c r="B258" s="5" t="s">
        <v>145</v>
      </c>
      <c r="C258" s="9" t="s">
        <v>194</v>
      </c>
      <c r="D258" s="8">
        <v>41298</v>
      </c>
      <c r="E258" s="9" t="s">
        <v>33</v>
      </c>
      <c r="F258" s="5">
        <v>1.5329999999999999</v>
      </c>
      <c r="G258" s="5">
        <v>1.5660000000000001</v>
      </c>
    </row>
    <row r="259" spans="1:8">
      <c r="A259" s="5" t="s">
        <v>187</v>
      </c>
      <c r="B259" s="5" t="s">
        <v>188</v>
      </c>
      <c r="C259" s="9" t="s">
        <v>194</v>
      </c>
      <c r="D259" s="8">
        <v>41298</v>
      </c>
      <c r="E259" s="9" t="s">
        <v>33</v>
      </c>
      <c r="F259" s="5">
        <v>200.92</v>
      </c>
      <c r="G259" s="5">
        <v>199.88</v>
      </c>
    </row>
    <row r="260" spans="1:8">
      <c r="A260" s="5" t="s">
        <v>163</v>
      </c>
      <c r="B260" s="5" t="s">
        <v>154</v>
      </c>
      <c r="C260" s="9" t="s">
        <v>194</v>
      </c>
      <c r="D260" s="8">
        <v>41298</v>
      </c>
      <c r="E260" s="9" t="s">
        <v>33</v>
      </c>
      <c r="F260" s="5">
        <v>4.5900000000000003E-3</v>
      </c>
      <c r="G260" s="5">
        <v>4.5999999999999999E-3</v>
      </c>
    </row>
    <row r="261" spans="1:8">
      <c r="A261" s="5" t="s">
        <v>164</v>
      </c>
      <c r="B261" s="5" t="s">
        <v>155</v>
      </c>
      <c r="C261" s="9" t="s">
        <v>194</v>
      </c>
      <c r="D261" s="8">
        <v>41298</v>
      </c>
      <c r="E261" s="9" t="s">
        <v>33</v>
      </c>
      <c r="F261" s="5">
        <v>7.2720000000000002</v>
      </c>
      <c r="G261" s="5">
        <v>7.2969999999999997</v>
      </c>
    </row>
    <row r="262" spans="1:8">
      <c r="A262" s="5" t="s">
        <v>162</v>
      </c>
      <c r="B262" s="5" t="s">
        <v>153</v>
      </c>
      <c r="C262" s="9" t="s">
        <v>194</v>
      </c>
      <c r="D262" s="8">
        <v>41298</v>
      </c>
      <c r="E262" s="9" t="s">
        <v>33</v>
      </c>
      <c r="F262" s="5">
        <v>30.744</v>
      </c>
      <c r="G262" s="5">
        <v>31.027000000000001</v>
      </c>
    </row>
    <row r="263" spans="1:8">
      <c r="A263" s="5" t="s">
        <v>165</v>
      </c>
      <c r="B263" s="5" t="s">
        <v>156</v>
      </c>
      <c r="C263" s="9" t="s">
        <v>194</v>
      </c>
      <c r="D263" s="8">
        <v>41298</v>
      </c>
      <c r="E263" s="9" t="s">
        <v>33</v>
      </c>
      <c r="F263" s="19">
        <v>42.143999999999998</v>
      </c>
      <c r="G263" s="19">
        <v>37.311999999999998</v>
      </c>
    </row>
    <row r="264" spans="1:8">
      <c r="A264" s="5" t="s">
        <v>166</v>
      </c>
      <c r="B264" s="5" t="s">
        <v>157</v>
      </c>
      <c r="C264" s="9" t="s">
        <v>194</v>
      </c>
      <c r="D264" s="8">
        <v>41298</v>
      </c>
      <c r="E264" s="9" t="s">
        <v>33</v>
      </c>
      <c r="F264" s="5">
        <v>4.3600000000000002E-3</v>
      </c>
      <c r="G264" s="5">
        <v>9.69E-2</v>
      </c>
    </row>
    <row r="265" spans="1:8">
      <c r="A265" s="5" t="s">
        <v>167</v>
      </c>
      <c r="B265" s="5" t="s">
        <v>158</v>
      </c>
      <c r="C265" s="9" t="s">
        <v>194</v>
      </c>
      <c r="D265" s="8">
        <v>41298</v>
      </c>
      <c r="E265" s="9" t="s">
        <v>33</v>
      </c>
      <c r="F265" s="5">
        <v>4.2460000000000004</v>
      </c>
      <c r="G265" s="5">
        <v>4.1970000000000001</v>
      </c>
    </row>
    <row r="266" spans="1:8">
      <c r="A266" s="5" t="s">
        <v>94</v>
      </c>
      <c r="B266" s="5" t="s">
        <v>95</v>
      </c>
      <c r="C266" s="9" t="s">
        <v>194</v>
      </c>
      <c r="D266" s="8">
        <v>41298</v>
      </c>
      <c r="E266" s="9" t="s">
        <v>33</v>
      </c>
      <c r="F266" s="5">
        <v>47.002000000000002</v>
      </c>
      <c r="G266" s="12">
        <v>45.338000000000001</v>
      </c>
      <c r="H266" t="s">
        <v>106</v>
      </c>
    </row>
    <row r="267" spans="1:8">
      <c r="A267" s="5" t="s">
        <v>94</v>
      </c>
      <c r="B267" s="5" t="s">
        <v>96</v>
      </c>
      <c r="C267" s="9" t="s">
        <v>194</v>
      </c>
      <c r="D267" s="8">
        <v>41298</v>
      </c>
      <c r="E267" s="9" t="s">
        <v>33</v>
      </c>
      <c r="F267" s="5">
        <v>23.92</v>
      </c>
      <c r="G267" s="12">
        <v>22.524000000000001</v>
      </c>
    </row>
    <row r="268" spans="1:8">
      <c r="A268" s="5" t="s">
        <v>94</v>
      </c>
      <c r="B268" s="5" t="s">
        <v>97</v>
      </c>
      <c r="C268" s="9" t="s">
        <v>194</v>
      </c>
      <c r="D268" s="8">
        <v>41298</v>
      </c>
      <c r="E268" s="9" t="s">
        <v>33</v>
      </c>
      <c r="F268" s="19">
        <v>18.802</v>
      </c>
      <c r="G268" s="21">
        <v>15.340999999999999</v>
      </c>
    </row>
    <row r="269" spans="1:8">
      <c r="A269" s="5" t="s">
        <v>94</v>
      </c>
      <c r="B269" s="5" t="s">
        <v>98</v>
      </c>
      <c r="C269" s="9" t="s">
        <v>194</v>
      </c>
      <c r="D269" s="8">
        <v>41298</v>
      </c>
      <c r="E269" s="9" t="s">
        <v>33</v>
      </c>
      <c r="F269" s="19">
        <v>15.345000000000001</v>
      </c>
      <c r="G269" s="21">
        <v>14.276999999999999</v>
      </c>
    </row>
    <row r="270" spans="1:8">
      <c r="A270" s="5" t="s">
        <v>94</v>
      </c>
      <c r="B270" s="5" t="s">
        <v>99</v>
      </c>
      <c r="C270" s="9" t="s">
        <v>194</v>
      </c>
      <c r="D270" s="8">
        <v>41298</v>
      </c>
      <c r="E270" s="9" t="s">
        <v>33</v>
      </c>
      <c r="F270" s="19">
        <v>16.619</v>
      </c>
      <c r="G270" s="21">
        <v>13.961</v>
      </c>
    </row>
    <row r="271" spans="1:8">
      <c r="A271" s="5" t="s">
        <v>94</v>
      </c>
      <c r="B271" s="5" t="s">
        <v>100</v>
      </c>
      <c r="C271" s="9" t="s">
        <v>194</v>
      </c>
      <c r="D271" s="8">
        <v>41298</v>
      </c>
      <c r="E271" s="9" t="s">
        <v>33</v>
      </c>
      <c r="F271" s="19">
        <v>15.407999999999999</v>
      </c>
      <c r="G271" s="21">
        <v>13.03</v>
      </c>
    </row>
    <row r="272" spans="1:8">
      <c r="A272" s="5" t="s">
        <v>94</v>
      </c>
      <c r="B272" s="5" t="s">
        <v>101</v>
      </c>
      <c r="C272" s="9" t="s">
        <v>194</v>
      </c>
      <c r="D272" s="8">
        <v>41298</v>
      </c>
      <c r="E272" s="9" t="s">
        <v>33</v>
      </c>
      <c r="F272" s="19">
        <v>15.673</v>
      </c>
      <c r="G272" s="21">
        <v>13.164</v>
      </c>
    </row>
    <row r="273" spans="1:7">
      <c r="A273" s="5" t="s">
        <v>94</v>
      </c>
      <c r="B273" s="5" t="s">
        <v>105</v>
      </c>
      <c r="C273" s="9" t="s">
        <v>194</v>
      </c>
      <c r="D273" s="8">
        <v>41298</v>
      </c>
      <c r="E273" s="9" t="s">
        <v>33</v>
      </c>
      <c r="F273" s="5">
        <v>242.95699999999999</v>
      </c>
      <c r="G273" s="12">
        <v>242.07400000000001</v>
      </c>
    </row>
  </sheetData>
  <autoFilter ref="A1:I273"/>
  <conditionalFormatting sqref="F222">
    <cfRule type="cellIs" dxfId="64" priority="33" operator="greaterThan">
      <formula>G222</formula>
    </cfRule>
  </conditionalFormatting>
  <conditionalFormatting sqref="F223">
    <cfRule type="cellIs" dxfId="63" priority="32" operator="greaterThan">
      <formula>G223</formula>
    </cfRule>
  </conditionalFormatting>
  <conditionalFormatting sqref="F224">
    <cfRule type="cellIs" dxfId="62" priority="31" operator="greaterThan">
      <formula>G224</formula>
    </cfRule>
  </conditionalFormatting>
  <conditionalFormatting sqref="F225">
    <cfRule type="cellIs" dxfId="61" priority="30" operator="greaterThan">
      <formula>G225</formula>
    </cfRule>
  </conditionalFormatting>
  <conditionalFormatting sqref="F226">
    <cfRule type="cellIs" dxfId="60" priority="29" operator="greaterThan">
      <formula>G226</formula>
    </cfRule>
  </conditionalFormatting>
  <conditionalFormatting sqref="F227">
    <cfRule type="cellIs" dxfId="59" priority="28" operator="greaterThan">
      <formula>G227</formula>
    </cfRule>
  </conditionalFormatting>
  <conditionalFormatting sqref="F228">
    <cfRule type="cellIs" dxfId="58" priority="27" operator="greaterThan">
      <formula>G228</formula>
    </cfRule>
  </conditionalFormatting>
  <conditionalFormatting sqref="F229">
    <cfRule type="cellIs" dxfId="57" priority="26" operator="greaterThan">
      <formula>G229</formula>
    </cfRule>
  </conditionalFormatting>
  <conditionalFormatting sqref="F230">
    <cfRule type="cellIs" dxfId="56" priority="25" operator="greaterThan">
      <formula>G230</formula>
    </cfRule>
  </conditionalFormatting>
  <conditionalFormatting sqref="F231">
    <cfRule type="cellIs" dxfId="55" priority="24" operator="greaterThan">
      <formula>G231</formula>
    </cfRule>
  </conditionalFormatting>
  <conditionalFormatting sqref="F232">
    <cfRule type="cellIs" dxfId="54" priority="23" operator="greaterThan">
      <formula>G232</formula>
    </cfRule>
  </conditionalFormatting>
  <conditionalFormatting sqref="F233">
    <cfRule type="cellIs" dxfId="53" priority="22" operator="greaterThan">
      <formula>G233</formula>
    </cfRule>
  </conditionalFormatting>
  <conditionalFormatting sqref="F234">
    <cfRule type="cellIs" dxfId="52" priority="21" operator="greaterThan">
      <formula>G234</formula>
    </cfRule>
  </conditionalFormatting>
  <conditionalFormatting sqref="F235">
    <cfRule type="cellIs" dxfId="51" priority="20" operator="greaterThan">
      <formula>G235</formula>
    </cfRule>
  </conditionalFormatting>
  <conditionalFormatting sqref="F236">
    <cfRule type="cellIs" dxfId="50" priority="19" operator="greaterThan">
      <formula>G236</formula>
    </cfRule>
  </conditionalFormatting>
  <conditionalFormatting sqref="F237">
    <cfRule type="cellIs" dxfId="49" priority="18" operator="greaterThan">
      <formula>G237</formula>
    </cfRule>
  </conditionalFormatting>
  <conditionalFormatting sqref="F238">
    <cfRule type="cellIs" dxfId="48" priority="17" operator="greaterThan">
      <formula>G238</formula>
    </cfRule>
  </conditionalFormatting>
  <conditionalFormatting sqref="F239">
    <cfRule type="cellIs" dxfId="47" priority="16" operator="greaterThan">
      <formula>G239</formula>
    </cfRule>
  </conditionalFormatting>
  <conditionalFormatting sqref="F240">
    <cfRule type="cellIs" dxfId="46" priority="15" operator="greaterThan">
      <formula>G240</formula>
    </cfRule>
  </conditionalFormatting>
  <conditionalFormatting sqref="F241">
    <cfRule type="cellIs" dxfId="45" priority="14" operator="greaterThan">
      <formula>G241</formula>
    </cfRule>
  </conditionalFormatting>
  <conditionalFormatting sqref="F242">
    <cfRule type="cellIs" dxfId="44" priority="13" operator="greaterThan">
      <formula>G242</formula>
    </cfRule>
  </conditionalFormatting>
  <conditionalFormatting sqref="F243">
    <cfRule type="cellIs" dxfId="43" priority="12" operator="greaterThan">
      <formula>G243</formula>
    </cfRule>
  </conditionalFormatting>
  <conditionalFormatting sqref="F244">
    <cfRule type="cellIs" dxfId="42" priority="11" operator="greaterThan">
      <formula>G244</formula>
    </cfRule>
  </conditionalFormatting>
  <conditionalFormatting sqref="F245">
    <cfRule type="cellIs" dxfId="41" priority="10" operator="greaterThan">
      <formula>G245</formula>
    </cfRule>
  </conditionalFormatting>
  <conditionalFormatting sqref="F240">
    <cfRule type="cellIs" dxfId="40" priority="9" operator="greaterThan">
      <formula>G240</formula>
    </cfRule>
  </conditionalFormatting>
  <conditionalFormatting sqref="F241">
    <cfRule type="cellIs" dxfId="39" priority="8" operator="greaterThan">
      <formula>G241</formula>
    </cfRule>
  </conditionalFormatting>
  <conditionalFormatting sqref="F242">
    <cfRule type="cellIs" dxfId="38" priority="7" operator="greaterThan">
      <formula>G242</formula>
    </cfRule>
  </conditionalFormatting>
  <conditionalFormatting sqref="F243">
    <cfRule type="cellIs" dxfId="37" priority="6" operator="greaterThan">
      <formula>G243</formula>
    </cfRule>
  </conditionalFormatting>
  <conditionalFormatting sqref="F244">
    <cfRule type="cellIs" dxfId="36" priority="5" operator="greaterThan">
      <formula>G244</formula>
    </cfRule>
  </conditionalFormatting>
  <conditionalFormatting sqref="F245">
    <cfRule type="cellIs" dxfId="35" priority="4" operator="greaterThan">
      <formula>G245</formula>
    </cfRule>
  </conditionalFormatting>
  <conditionalFormatting sqref="F246">
    <cfRule type="cellIs" dxfId="34" priority="3" operator="greaterThan">
      <formula>G246</formula>
    </cfRule>
  </conditionalFormatting>
  <conditionalFormatting sqref="F247">
    <cfRule type="cellIs" dxfId="33" priority="2" operator="greaterThan">
      <formula>G247</formula>
    </cfRule>
  </conditionalFormatting>
  <conditionalFormatting sqref="F248:F273">
    <cfRule type="cellIs" dxfId="0" priority="1" operator="greaterThan">
      <formula>G248</formula>
    </cfRule>
  </conditionalFormatting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4"/>
  <sheetViews>
    <sheetView workbookViewId="0">
      <selection activeCell="Q5" sqref="Q5"/>
    </sheetView>
  </sheetViews>
  <sheetFormatPr defaultRowHeight="15"/>
  <cols>
    <col min="1" max="1" width="15.42578125" bestFit="1" customWidth="1"/>
    <col min="2" max="2" width="18.140625" customWidth="1"/>
  </cols>
  <sheetData>
    <row r="1" spans="1:1">
      <c r="A1" t="s">
        <v>21</v>
      </c>
    </row>
    <row r="2" spans="1:1">
      <c r="A2" t="s">
        <v>22</v>
      </c>
    </row>
    <row r="3" spans="1:1">
      <c r="A3" t="s">
        <v>27</v>
      </c>
    </row>
    <row r="4" spans="1:1">
      <c r="A4" t="s">
        <v>104</v>
      </c>
    </row>
  </sheetData>
  <pageMargins left="0.7" right="0.7" top="0.75" bottom="0.75" header="0.3" footer="0.3"/>
  <pageSetup orientation="portrait" r:id="rId1"/>
  <legacyDrawing r:id="rId2"/>
  <controls>
    <control shapeId="1029" r:id="rId3" name="ComboBox4"/>
    <control shapeId="1028" r:id="rId4" name="ComboBox3"/>
    <control shapeId="1027" r:id="rId5" name="ComboBox2"/>
    <control shapeId="1026" r:id="rId6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Goals and Status</vt:lpstr>
      <vt:lpstr>Rollup - Pre-specified points</vt:lpstr>
      <vt:lpstr>Rollup - Retrieve Results</vt:lpstr>
      <vt:lpstr>Computer Data</vt:lpstr>
      <vt:lpstr>Test Data</vt:lpstr>
      <vt:lpstr>Graphs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2013-02-05T00:03:03Z</dcterms:modified>
</cp:coreProperties>
</file>